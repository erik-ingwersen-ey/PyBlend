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E35E05DB-E179-A60D-BCED-30B13FF8341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G287PG\PyBlend\"/>
    </mc:Choice>
  </mc:AlternateContent>
  <xr:revisionPtr revIDLastSave="0" documentId="13_ncr:1_{D2C8C831-9E4E-4153-949C-F96CF1CF2D15}" xr6:coauthVersionLast="47" xr6:coauthVersionMax="47" xr10:uidLastSave="{00000000-0000-0000-0000-000000000000}"/>
  <bookViews>
    <workbookView xWindow="-108" yWindow="-108" windowWidth="30936" windowHeight="12576" xr2:uid="{00000000-000D-0000-FFFF-FFFF00000000}"/>
  </bookViews>
  <sheets>
    <sheet name="Inputs" sheetId="1" r:id="rId1"/>
    <sheet name="Resultados" sheetId="2" r:id="rId2"/>
    <sheet name="Check Restrições" sheetId="3" r:id="rId3"/>
    <sheet name="Sheet1" sheetId="5" r:id="rId4"/>
  </sheets>
  <definedNames>
    <definedName name="_xlnm._FilterDatabase" localSheetId="0" hidden="1">Inputs!$S$2:$V$402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5" l="1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8" i="5"/>
  <c r="I5" i="5" l="1"/>
  <c r="I4" i="5"/>
  <c r="I3" i="5"/>
  <c r="I2" i="5"/>
  <c r="H5" i="5" a="1"/>
  <c r="H5" i="5" s="1"/>
  <c r="H4" i="5" a="1"/>
  <c r="H4" i="5" s="1"/>
  <c r="H3" i="5" a="1"/>
  <c r="H3" i="5" s="1"/>
  <c r="H2" i="5" a="1"/>
  <c r="H2" i="5" s="1"/>
  <c r="G5" i="5" a="1"/>
  <c r="G5" i="5" s="1"/>
  <c r="G4" i="5" a="1"/>
  <c r="G4" i="5" s="1"/>
  <c r="G3" i="5" a="1"/>
  <c r="G3" i="5" s="1"/>
  <c r="G2" i="5" l="1" a="1"/>
  <c r="G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<sst xmlns="http://schemas.openxmlformats.org/spreadsheetml/2006/main" count="89" uniqueCount="39">
  <si>
    <t>T1: Informações Gerais</t>
  </si>
  <si>
    <t>T2: Composição e Posição de Pilhas</t>
  </si>
  <si>
    <t>T3: Acessos de caminhões às áreas das pilhas</t>
  </si>
  <si>
    <t>T4: Taxa de Carregamento por Caminhão</t>
  </si>
  <si>
    <t>T5: Tempos de deslocamento entre pilhas (min)</t>
  </si>
  <si>
    <t>Variável</t>
  </si>
  <si>
    <t>Valor</t>
  </si>
  <si>
    <t>ID</t>
  </si>
  <si>
    <t>Área</t>
  </si>
  <si>
    <t>Quantidade (ton)</t>
  </si>
  <si>
    <t>Fe</t>
  </si>
  <si>
    <t>SiO2</t>
  </si>
  <si>
    <t>Al2O3</t>
  </si>
  <si>
    <t>P</t>
  </si>
  <si>
    <t>yard</t>
  </si>
  <si>
    <t>Veículo 1</t>
  </si>
  <si>
    <t>Veículo 2</t>
  </si>
  <si>
    <t>Veículo</t>
  </si>
  <si>
    <t>Taxa (ton/min)</t>
  </si>
  <si>
    <t>De</t>
  </si>
  <si>
    <t>Para</t>
  </si>
  <si>
    <t>Peso Carregamento</t>
  </si>
  <si>
    <t>x</t>
  </si>
  <si>
    <t>Pilha</t>
  </si>
  <si>
    <t>Peso Inicial Pilha</t>
  </si>
  <si>
    <t>Peso Final Pilha</t>
  </si>
  <si>
    <t>Carregamento (ton)</t>
  </si>
  <si>
    <t>Início</t>
  </si>
  <si>
    <t>Fim</t>
  </si>
  <si>
    <t>Tempo Carregamento</t>
  </si>
  <si>
    <t>Tempo Deslocamento</t>
  </si>
  <si>
    <t>output</t>
  </si>
  <si>
    <t>Elemento</t>
  </si>
  <si>
    <t>Mínimo</t>
  </si>
  <si>
    <t>Máximo</t>
  </si>
  <si>
    <t>Meta</t>
  </si>
  <si>
    <t>Check</t>
  </si>
  <si>
    <t>Total</t>
  </si>
  <si>
    <t>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</si>
</sst>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0.000"/>
    <numFmt numFmtId="165" formatCode="0.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name val="Calibri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5B80B8"/>
        <bgColor rgb="FF5B80B8"/>
      </patternFill>
    </fill>
    <fill>
      <patternFill patternType="solid">
        <fgColor rgb="FFB9C8DE"/>
        <bgColor rgb="FFB9C8DE"/>
      </patternFill>
    </fill>
    <fill>
      <patternFill patternType="solid">
        <fgColor rgb="FFDEE6F0"/>
        <bgColor rgb="FFDEE6F0"/>
      </patternFill>
    </fill>
    <fill>
      <patternFill patternType="solid">
        <fgColor rgb="FFE26B0A"/>
        <bgColor rgb="FFE26B0A"/>
      </patternFill>
    </fill>
    <fill>
      <patternFill patternType="solid">
        <fgColor rgb="FFB9C8DE"/>
        <bgColor indexed="64"/>
      </patternFill>
    </fill>
    <fill>
      <patternFill patternType="solid">
        <fgColor rgb="FFDEE6F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5B80B8"/>
        <bgColor indexed="64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/>
      <right/>
      <top style="thick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/>
      <top style="double">
        <color rgb="FFFFFFFF"/>
      </top>
      <bottom/>
      <diagonal/>
    </border>
  </borders>
  <cellStyleXfs count="3">
    <xf numFmtId="0" fontId="0" fillId="0" borderId="0"/>
    <xf numFmtId="3" fontId="2" fillId="0" borderId="1"/>
    <xf numFmtId="43" fontId="7" fillId="0" borderId="0" applyFont="0" applyFill="0" applyBorder="0" applyAlignment="0" applyProtection="0"/>
  </cellStyleXfs>
  <cellXfs count="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3" fontId="2" fillId="3" borderId="1" xfId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3" fontId="2" fillId="4" borderId="1" xfId="1" applyFill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0" fontId="4" fillId="7" borderId="3" xfId="0" applyFont="1" applyFill="1" applyBorder="1" applyAlignment="1">
      <alignment horizontal="center"/>
    </xf>
    <xf numFmtId="0" fontId="5" fillId="9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3" fontId="4" fillId="6" borderId="2" xfId="0" applyNumberFormat="1" applyFont="1" applyFill="1" applyBorder="1" applyAlignment="1">
      <alignment horizontal="center"/>
    </xf>
    <xf numFmtId="3" fontId="4" fillId="7" borderId="3" xfId="0" applyNumberFormat="1" applyFont="1" applyFill="1" applyBorder="1" applyAlignment="1">
      <alignment horizontal="center"/>
    </xf>
    <xf numFmtId="3" fontId="4" fillId="6" borderId="3" xfId="0" applyNumberFormat="1" applyFont="1" applyFill="1" applyBorder="1" applyAlignment="1">
      <alignment horizontal="center"/>
    </xf>
    <xf numFmtId="3" fontId="5" fillId="8" borderId="4" xfId="0" applyNumberFormat="1" applyFont="1" applyFill="1" applyBorder="1" applyAlignment="1">
      <alignment horizontal="center"/>
    </xf>
    <xf numFmtId="2" fontId="0" fillId="0" borderId="0" xfId="0" applyNumberFormat="1"/>
    <xf numFmtId="165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4" fillId="6" borderId="2" xfId="0" applyNumberFormat="1" applyFont="1" applyFill="1" applyBorder="1" applyAlignment="1">
      <alignment horizontal="center"/>
    </xf>
    <xf numFmtId="165" fontId="4" fillId="7" borderId="3" xfId="0" applyNumberFormat="1" applyFont="1" applyFill="1" applyBorder="1" applyAlignment="1">
      <alignment horizontal="center"/>
    </xf>
    <xf numFmtId="165" fontId="4" fillId="6" borderId="3" xfId="0" applyNumberFormat="1" applyFont="1" applyFill="1" applyBorder="1" applyAlignment="1">
      <alignment horizontal="center"/>
    </xf>
    <xf numFmtId="165" fontId="5" fillId="8" borderId="4" xfId="0" applyNumberFormat="1" applyFont="1" applyFill="1" applyBorder="1" applyAlignment="1">
      <alignment horizontal="center"/>
    </xf>
    <xf numFmtId="165" fontId="5" fillId="9" borderId="1" xfId="0" applyNumberFormat="1" applyFont="1" applyFill="1" applyBorder="1" applyAlignment="1">
      <alignment horizontal="center"/>
    </xf>
    <xf numFmtId="3" fontId="5" fillId="9" borderId="1" xfId="0" applyNumberFormat="1" applyFont="1" applyFill="1" applyBorder="1" applyAlignment="1">
      <alignment horizontal="center"/>
    </xf>
    <xf numFmtId="3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/>
    <xf numFmtId="165" fontId="0" fillId="0" borderId="0" xfId="0" applyNumberFormat="1" applyAlignment="1">
      <alignment horizontal="center" vertical="center" wrapText="1"/>
    </xf>
    <xf numFmtId="165" fontId="0" fillId="0" borderId="0" xfId="0" applyNumberFormat="1"/>
    <xf numFmtId="165" fontId="1" fillId="2" borderId="0" xfId="0" applyNumberFormat="1" applyFont="1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68" fontId="0" fillId="3" borderId="0" xfId="2" applyNumberFormat="1" applyFont="1" applyFill="1" applyAlignment="1">
      <alignment horizontal="center" vertical="center"/>
    </xf>
    <xf numFmtId="168" fontId="0" fillId="4" borderId="0" xfId="2" applyNumberFormat="1" applyFont="1" applyFill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</cellXfs>
  <cellStyles count="3">
    <cellStyle name="Comma" xfId="2" builtinId="3"/>
    <cellStyle name="Normal" xfId="0" builtinId="0"/>
    <cellStyle name="number_format" xfId="1" xr:uid="{00000000-0005-0000-0000-000001000000}"/>
  </cellStyles>
  <dxfs count="122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1" defaultTableStyle="TableStyleMedium9" defaultPivotStyle="PivotStyleLight16">
    <tableStyle name="Invisible" pivot="0" table="0" count="0" xr9:uid="{9E1CD5D4-4F6E-4EBA-BD33-71C94137D88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249054</xdr:colOff>
      <xdr:row>19</xdr:row>
      <xdr:rowOff>118756</xdr:rowOff>
    </xdr:from>
    <xdr:to>
      <xdr:col>13</xdr:col>
      <xdr:colOff>207822</xdr:colOff>
      <xdr:row>32</xdr:row>
      <xdr:rowOff>75067</xdr:rowOff>
    </xdr:to>
    <xdr:grpSp>
      <xdr:nvGrpSpPr>
        <xdr:cNvPr id="5157" name="Group 5156">
          <a:extLst>
            <a:ext uri="{FF2B5EF4-FFF2-40B4-BE49-F238E27FC236}">
              <a16:creationId xmlns:a16="http://schemas.microsoft.com/office/drawing/2014/main" id="{00000000-0008-0000-0100-000025140000}"/>
            </a:ext>
          </a:extLst>
        </xdr:cNvPr>
        <xdr:cNvGrpSpPr/>
      </xdr:nvGrpSpPr>
      <xdr:grpSpPr>
        <a:xfrm>
          <a:off x="9434618" y="3596247"/>
          <a:ext cx="4697022" cy="2297729"/>
          <a:chOff x="7850910" y="450272"/>
          <a:chExt cx="4276768" cy="2197779"/>
        </a:xfrm>
      </xdr:grpSpPr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850910" y="450272"/>
            <a:ext cx="4276768" cy="2197779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1" name="Button 1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100-000001140000}"/>
                  </a:ext>
                </a:extLst>
              </xdr:cNvPr>
              <xdr:cNvSpPr/>
            </xdr:nvSpPr>
            <xdr:spPr bwMode="auto">
              <a:xfrm>
                <a:off x="9175340" y="2079336"/>
                <a:ext cx="1679615" cy="36285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pt-B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Otimizar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0</xdr:col>
      <xdr:colOff>0</xdr:colOff>
      <xdr:row>18</xdr:row>
      <xdr:rowOff>180606</xdr:rowOff>
    </xdr:from>
    <xdr:to>
      <xdr:col>7</xdr:col>
      <xdr:colOff>249725</xdr:colOff>
      <xdr:row>39</xdr:row>
      <xdr:rowOff>122055</xdr:rowOff>
    </xdr:to>
    <xdr:pic>
      <xdr:nvPicPr>
        <xdr:cNvPr id="5167" name="Gantt">
          <a:extLst>
            <a:ext uri="{FF2B5EF4-FFF2-40B4-BE49-F238E27FC236}">
              <a16:creationId xmlns:a16="http://schemas.microsoft.com/office/drawing/2014/main" id="{D01534F3-DBAF-D41C-3FE3-DA65924B9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02926"/>
          <a:ext cx="7663985" cy="37819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02"/>
  <sheetViews>
    <sheetView showGridLines="0" tabSelected="1" zoomScale="70" zoomScaleNormal="70" workbookViewId="0">
      <pane ySplit="2" topLeftCell="A15" activePane="bottomLeft" state="frozen"/>
      <selection pane="bottomLeft" activeCell="E25" sqref="E25"/>
    </sheetView>
  </sheetViews>
  <sheetFormatPr defaultColWidth="8.77734375" defaultRowHeight="14.4" x14ac:dyDescent="0.3"/>
  <cols>
    <col min="1" max="1" width="19" customWidth="1"/>
    <col min="2" max="2" width="10" customWidth="1"/>
    <col min="3" max="3" width="4" style="29" customWidth="1"/>
    <col min="4" max="5" width="10" style="18" customWidth="1"/>
    <col min="6" max="6" width="18" style="18" customWidth="1"/>
    <col min="7" max="10" width="10" style="18" customWidth="1"/>
    <col min="11" max="11" width="4" customWidth="1"/>
    <col min="12" max="12" width="10" customWidth="1"/>
    <col min="13" max="14" width="11" customWidth="1"/>
    <col min="15" max="16" width="10" customWidth="1"/>
    <col min="17" max="17" width="16" customWidth="1"/>
    <col min="18" max="18" width="4" customWidth="1"/>
    <col min="19" max="20" width="10" customWidth="1"/>
    <col min="21" max="22" width="11" customWidth="1"/>
  </cols>
  <sheetData>
    <row r="1" spans="1:22" ht="36" customHeight="1" x14ac:dyDescent="0.3">
      <c r="A1" s="30" t="s">
        <v>0</v>
      </c>
      <c r="B1" s="31"/>
      <c r="D1" s="32" t="s">
        <v>1</v>
      </c>
      <c r="E1" s="33"/>
      <c r="F1" s="33"/>
      <c r="G1" s="33"/>
      <c r="H1" s="33"/>
      <c r="I1" s="33"/>
      <c r="J1" s="33"/>
      <c r="L1" s="30" t="s">
        <v>2</v>
      </c>
      <c r="M1" s="31"/>
      <c r="N1" s="31"/>
      <c r="P1" s="30" t="s">
        <v>3</v>
      </c>
      <c r="Q1" s="31"/>
      <c r="S1" s="30" t="s">
        <v>4</v>
      </c>
      <c r="T1" s="31"/>
      <c r="U1" s="31"/>
      <c r="V1" s="31"/>
    </row>
    <row r="2" spans="1:22" x14ac:dyDescent="0.3">
      <c r="A2" s="1" t="s">
        <v>5</v>
      </c>
      <c r="B2" s="1" t="s">
        <v>6</v>
      </c>
      <c r="D2" s="34" t="s">
        <v>7</v>
      </c>
      <c r="E2" s="34" t="s">
        <v>8</v>
      </c>
      <c r="F2" s="34" t="s">
        <v>9</v>
      </c>
      <c r="G2" s="34" t="s">
        <v>10</v>
      </c>
      <c r="H2" s="34" t="s">
        <v>11</v>
      </c>
      <c r="I2" s="34" t="s">
        <v>12</v>
      </c>
      <c r="J2" s="34" t="s">
        <v>13</v>
      </c>
      <c r="L2" s="1" t="s">
        <v>14</v>
      </c>
      <c r="M2" s="1" t="s">
        <v>15</v>
      </c>
      <c r="N2" s="1" t="s">
        <v>16</v>
      </c>
      <c r="P2" s="2" t="s">
        <v>17</v>
      </c>
      <c r="Q2" s="2" t="s">
        <v>18</v>
      </c>
      <c r="S2" s="1" t="s">
        <v>19</v>
      </c>
      <c r="T2" s="1" t="s">
        <v>20</v>
      </c>
      <c r="U2" s="1" t="s">
        <v>15</v>
      </c>
      <c r="V2" s="1" t="s">
        <v>16</v>
      </c>
    </row>
    <row r="3" spans="1:22" x14ac:dyDescent="0.3">
      <c r="A3" s="3" t="s">
        <v>21</v>
      </c>
      <c r="B3" s="7">
        <v>500000</v>
      </c>
      <c r="D3" s="37">
        <v>1</v>
      </c>
      <c r="E3" s="37">
        <v>1</v>
      </c>
      <c r="F3" s="39">
        <v>100000</v>
      </c>
      <c r="G3" s="41">
        <v>80.099999999999994</v>
      </c>
      <c r="H3" s="35">
        <v>4.0999999999999996</v>
      </c>
      <c r="I3" s="35">
        <v>3.1</v>
      </c>
      <c r="J3" s="43">
        <v>6.0100000000000001E-2</v>
      </c>
      <c r="L3" s="3">
        <v>1</v>
      </c>
      <c r="M3" s="3" t="s">
        <v>22</v>
      </c>
      <c r="N3" s="3" t="s">
        <v>22</v>
      </c>
      <c r="P3" s="4">
        <v>1</v>
      </c>
      <c r="Q3" s="4">
        <v>3900</v>
      </c>
      <c r="S3" s="3">
        <v>1</v>
      </c>
      <c r="T3" s="3">
        <v>1</v>
      </c>
      <c r="U3" s="3">
        <v>1</v>
      </c>
      <c r="V3" s="3">
        <v>1</v>
      </c>
    </row>
    <row r="4" spans="1:22" x14ac:dyDescent="0.3">
      <c r="D4" s="38">
        <v>2</v>
      </c>
      <c r="E4" s="38">
        <v>1</v>
      </c>
      <c r="F4" s="40">
        <v>100000</v>
      </c>
      <c r="G4" s="42">
        <v>80.2</v>
      </c>
      <c r="H4" s="36">
        <v>4.2</v>
      </c>
      <c r="I4" s="36">
        <v>3.2</v>
      </c>
      <c r="J4" s="44">
        <v>6.0199999999999997E-2</v>
      </c>
      <c r="L4" s="5">
        <v>2</v>
      </c>
      <c r="M4" s="5" t="s">
        <v>22</v>
      </c>
      <c r="N4" s="5" t="s">
        <v>22</v>
      </c>
      <c r="P4" s="6">
        <v>2</v>
      </c>
      <c r="Q4" s="6">
        <v>2600</v>
      </c>
      <c r="S4" s="5">
        <v>1</v>
      </c>
      <c r="T4" s="5">
        <v>2</v>
      </c>
      <c r="U4" s="5">
        <v>6</v>
      </c>
      <c r="V4" s="5">
        <v>6</v>
      </c>
    </row>
    <row r="5" spans="1:22" x14ac:dyDescent="0.3">
      <c r="D5" s="37">
        <v>3</v>
      </c>
      <c r="E5" s="37">
        <v>2</v>
      </c>
      <c r="F5" s="39">
        <v>100000</v>
      </c>
      <c r="G5" s="41">
        <v>80.3</v>
      </c>
      <c r="H5" s="35">
        <v>4.3</v>
      </c>
      <c r="I5" s="35">
        <v>3.3</v>
      </c>
      <c r="J5" s="43">
        <v>6.0299999999999999E-2</v>
      </c>
      <c r="L5" s="3">
        <v>3</v>
      </c>
      <c r="M5" s="3" t="s">
        <v>22</v>
      </c>
      <c r="N5" s="3" t="s">
        <v>22</v>
      </c>
      <c r="S5" s="3">
        <v>1</v>
      </c>
      <c r="T5" s="3">
        <v>3</v>
      </c>
      <c r="U5" s="3">
        <v>1</v>
      </c>
      <c r="V5" s="3">
        <v>1</v>
      </c>
    </row>
    <row r="6" spans="1:22" x14ac:dyDescent="0.3">
      <c r="D6" s="38">
        <v>4</v>
      </c>
      <c r="E6" s="38">
        <v>2</v>
      </c>
      <c r="F6" s="40">
        <v>100000</v>
      </c>
      <c r="G6" s="42">
        <v>80.400000000000006</v>
      </c>
      <c r="H6" s="36">
        <v>4.4000000000000004</v>
      </c>
      <c r="I6" s="36">
        <v>3.4</v>
      </c>
      <c r="J6" s="44">
        <v>6.0400000000000002E-2</v>
      </c>
      <c r="L6" s="5">
        <v>4</v>
      </c>
      <c r="M6" s="5" t="s">
        <v>22</v>
      </c>
      <c r="N6" s="5" t="s">
        <v>22</v>
      </c>
      <c r="S6" s="5">
        <v>1</v>
      </c>
      <c r="T6" s="5">
        <v>4</v>
      </c>
      <c r="U6" s="5">
        <v>5</v>
      </c>
      <c r="V6" s="5">
        <v>5</v>
      </c>
    </row>
    <row r="7" spans="1:22" x14ac:dyDescent="0.3">
      <c r="D7" s="37">
        <v>5</v>
      </c>
      <c r="E7" s="37">
        <v>3</v>
      </c>
      <c r="F7" s="39">
        <v>100000</v>
      </c>
      <c r="G7" s="41">
        <v>80.5</v>
      </c>
      <c r="H7" s="35">
        <v>4.5</v>
      </c>
      <c r="I7" s="35">
        <v>3.5</v>
      </c>
      <c r="J7" s="43">
        <v>6.0499999999999998E-2</v>
      </c>
      <c r="L7" s="3">
        <v>5</v>
      </c>
      <c r="M7" s="3" t="s">
        <v>22</v>
      </c>
      <c r="N7" s="3" t="s">
        <v>22</v>
      </c>
      <c r="S7" s="3">
        <v>1</v>
      </c>
      <c r="T7" s="3">
        <v>5</v>
      </c>
      <c r="U7" s="3">
        <v>8</v>
      </c>
      <c r="V7" s="3">
        <v>8</v>
      </c>
    </row>
    <row r="8" spans="1:22" x14ac:dyDescent="0.3">
      <c r="D8" s="38">
        <v>6</v>
      </c>
      <c r="E8" s="38">
        <v>3</v>
      </c>
      <c r="F8" s="40">
        <v>100000</v>
      </c>
      <c r="G8" s="42">
        <v>80.599999999999994</v>
      </c>
      <c r="H8" s="36">
        <v>4.5999999999999996</v>
      </c>
      <c r="I8" s="36">
        <v>3.6</v>
      </c>
      <c r="J8" s="44">
        <v>6.0600000000000001E-2</v>
      </c>
      <c r="L8" s="5">
        <v>6</v>
      </c>
      <c r="M8" s="5" t="s">
        <v>22</v>
      </c>
      <c r="N8" s="5" t="s">
        <v>22</v>
      </c>
      <c r="S8" s="5">
        <v>1</v>
      </c>
      <c r="T8" s="5">
        <v>6</v>
      </c>
      <c r="U8" s="5">
        <v>4</v>
      </c>
      <c r="V8" s="5">
        <v>4</v>
      </c>
    </row>
    <row r="9" spans="1:22" x14ac:dyDescent="0.3">
      <c r="D9" s="37">
        <v>7</v>
      </c>
      <c r="E9" s="37">
        <v>4</v>
      </c>
      <c r="F9" s="39">
        <v>100000</v>
      </c>
      <c r="G9" s="41">
        <v>80.7</v>
      </c>
      <c r="H9" s="35">
        <v>4.7</v>
      </c>
      <c r="I9" s="35">
        <v>3.7</v>
      </c>
      <c r="J9" s="43">
        <v>6.0699999999999997E-2</v>
      </c>
      <c r="L9" s="3">
        <v>7</v>
      </c>
      <c r="M9" s="3" t="s">
        <v>22</v>
      </c>
      <c r="N9" s="3" t="s">
        <v>22</v>
      </c>
      <c r="S9" s="3">
        <v>1</v>
      </c>
      <c r="T9" s="3">
        <v>7</v>
      </c>
      <c r="U9" s="3">
        <v>2</v>
      </c>
      <c r="V9" s="3">
        <v>2</v>
      </c>
    </row>
    <row r="10" spans="1:22" x14ac:dyDescent="0.3">
      <c r="D10" s="38">
        <v>8</v>
      </c>
      <c r="E10" s="38">
        <v>4</v>
      </c>
      <c r="F10" s="40">
        <v>100000</v>
      </c>
      <c r="G10" s="42">
        <v>80.8</v>
      </c>
      <c r="H10" s="36">
        <v>4.8</v>
      </c>
      <c r="I10" s="36">
        <v>3.8</v>
      </c>
      <c r="J10" s="44">
        <v>6.08E-2</v>
      </c>
      <c r="L10" s="5">
        <v>8</v>
      </c>
      <c r="M10" s="5" t="s">
        <v>22</v>
      </c>
      <c r="N10" s="5" t="s">
        <v>22</v>
      </c>
      <c r="S10" s="5">
        <v>1</v>
      </c>
      <c r="T10" s="5">
        <v>8</v>
      </c>
      <c r="U10" s="5">
        <v>6</v>
      </c>
      <c r="V10" s="5">
        <v>6</v>
      </c>
    </row>
    <row r="11" spans="1:22" x14ac:dyDescent="0.3">
      <c r="D11" s="37">
        <v>9</v>
      </c>
      <c r="E11" s="37">
        <v>5</v>
      </c>
      <c r="F11" s="39">
        <v>100000</v>
      </c>
      <c r="G11" s="41">
        <v>80.900000000000006</v>
      </c>
      <c r="H11" s="35">
        <v>4.9000000000000004</v>
      </c>
      <c r="I11" s="35">
        <v>3.9</v>
      </c>
      <c r="J11" s="43">
        <v>6.0900000000000003E-2</v>
      </c>
      <c r="L11" s="3">
        <v>9</v>
      </c>
      <c r="M11" s="3" t="s">
        <v>22</v>
      </c>
      <c r="N11" s="3" t="s">
        <v>22</v>
      </c>
      <c r="S11" s="3">
        <v>1</v>
      </c>
      <c r="T11" s="3">
        <v>9</v>
      </c>
      <c r="U11" s="3">
        <v>4</v>
      </c>
      <c r="V11" s="3">
        <v>4</v>
      </c>
    </row>
    <row r="12" spans="1:22" x14ac:dyDescent="0.3">
      <c r="D12" s="38">
        <v>10</v>
      </c>
      <c r="E12" s="38">
        <v>5</v>
      </c>
      <c r="F12" s="40">
        <v>100000</v>
      </c>
      <c r="G12" s="42">
        <v>81</v>
      </c>
      <c r="H12" s="36">
        <v>5</v>
      </c>
      <c r="I12" s="36">
        <v>4</v>
      </c>
      <c r="J12" s="44">
        <v>6.0999999999999999E-2</v>
      </c>
      <c r="L12" s="5">
        <v>10</v>
      </c>
      <c r="M12" s="5" t="s">
        <v>22</v>
      </c>
      <c r="N12" s="5" t="s">
        <v>22</v>
      </c>
      <c r="S12" s="5">
        <v>1</v>
      </c>
      <c r="T12" s="5">
        <v>10</v>
      </c>
      <c r="U12" s="5">
        <v>3</v>
      </c>
      <c r="V12" s="5">
        <v>3</v>
      </c>
    </row>
    <row r="13" spans="1:22" x14ac:dyDescent="0.3">
      <c r="D13" s="37">
        <v>11</v>
      </c>
      <c r="E13" s="37">
        <v>6</v>
      </c>
      <c r="F13" s="39">
        <v>100000</v>
      </c>
      <c r="G13" s="41">
        <v>81.099999999999994</v>
      </c>
      <c r="H13" s="35">
        <v>5.0999999999999996</v>
      </c>
      <c r="I13" s="35">
        <v>4.0999999999999996</v>
      </c>
      <c r="J13" s="43">
        <v>6.1100000000000002E-2</v>
      </c>
      <c r="S13" s="3">
        <v>1</v>
      </c>
      <c r="T13" s="3">
        <v>11</v>
      </c>
      <c r="U13" s="3">
        <v>10</v>
      </c>
      <c r="V13" s="3">
        <v>10</v>
      </c>
    </row>
    <row r="14" spans="1:22" x14ac:dyDescent="0.3">
      <c r="D14" s="38">
        <v>12</v>
      </c>
      <c r="E14" s="38">
        <v>6</v>
      </c>
      <c r="F14" s="40">
        <v>100000</v>
      </c>
      <c r="G14" s="42">
        <v>81.2</v>
      </c>
      <c r="H14" s="36">
        <v>5.2</v>
      </c>
      <c r="I14" s="36">
        <v>4.2</v>
      </c>
      <c r="J14" s="44">
        <v>6.1199999999999997E-2</v>
      </c>
      <c r="S14" s="5">
        <v>1</v>
      </c>
      <c r="T14" s="5">
        <v>12</v>
      </c>
      <c r="U14" s="5">
        <v>2</v>
      </c>
      <c r="V14" s="5">
        <v>2</v>
      </c>
    </row>
    <row r="15" spans="1:22" x14ac:dyDescent="0.3">
      <c r="D15" s="37">
        <v>13</v>
      </c>
      <c r="E15" s="37">
        <v>7</v>
      </c>
      <c r="F15" s="39">
        <v>100000</v>
      </c>
      <c r="G15" s="41">
        <v>81.3</v>
      </c>
      <c r="H15" s="35">
        <v>5.3</v>
      </c>
      <c r="I15" s="35">
        <v>4.3</v>
      </c>
      <c r="J15" s="43">
        <v>6.13E-2</v>
      </c>
      <c r="S15" s="3">
        <v>1</v>
      </c>
      <c r="T15" s="3">
        <v>13</v>
      </c>
      <c r="U15" s="3">
        <v>9</v>
      </c>
      <c r="V15" s="3">
        <v>9</v>
      </c>
    </row>
    <row r="16" spans="1:22" x14ac:dyDescent="0.3">
      <c r="D16" s="38">
        <v>14</v>
      </c>
      <c r="E16" s="38">
        <v>7</v>
      </c>
      <c r="F16" s="40">
        <v>100000</v>
      </c>
      <c r="G16" s="42">
        <v>81.400000000000006</v>
      </c>
      <c r="H16" s="36">
        <v>5.4</v>
      </c>
      <c r="I16" s="36">
        <v>4.4000000000000004</v>
      </c>
      <c r="J16" s="44">
        <v>6.1400000000000003E-2</v>
      </c>
      <c r="S16" s="5">
        <v>1</v>
      </c>
      <c r="T16" s="5">
        <v>14</v>
      </c>
      <c r="U16" s="5">
        <v>8</v>
      </c>
      <c r="V16" s="5">
        <v>8</v>
      </c>
    </row>
    <row r="17" spans="4:22" x14ac:dyDescent="0.3">
      <c r="D17" s="37">
        <v>15</v>
      </c>
      <c r="E17" s="37">
        <v>8</v>
      </c>
      <c r="F17" s="39">
        <v>100000</v>
      </c>
      <c r="G17" s="41">
        <v>81.5</v>
      </c>
      <c r="H17" s="35">
        <v>5.5</v>
      </c>
      <c r="I17" s="35">
        <v>4.5</v>
      </c>
      <c r="J17" s="43">
        <v>6.1499999999999999E-2</v>
      </c>
      <c r="S17" s="3">
        <v>1</v>
      </c>
      <c r="T17" s="3">
        <v>15</v>
      </c>
      <c r="U17" s="3">
        <v>7</v>
      </c>
      <c r="V17" s="3">
        <v>7</v>
      </c>
    </row>
    <row r="18" spans="4:22" x14ac:dyDescent="0.3">
      <c r="D18" s="38">
        <v>16</v>
      </c>
      <c r="E18" s="38">
        <v>8</v>
      </c>
      <c r="F18" s="40">
        <v>100000</v>
      </c>
      <c r="G18" s="42">
        <v>81.599999999999994</v>
      </c>
      <c r="H18" s="36">
        <v>5.6</v>
      </c>
      <c r="I18" s="36">
        <v>4.5999999999999996</v>
      </c>
      <c r="J18" s="44">
        <v>6.1600000000000002E-2</v>
      </c>
      <c r="S18" s="5">
        <v>1</v>
      </c>
      <c r="T18" s="5">
        <v>16</v>
      </c>
      <c r="U18" s="5">
        <v>1</v>
      </c>
      <c r="V18" s="5">
        <v>1</v>
      </c>
    </row>
    <row r="19" spans="4:22" x14ac:dyDescent="0.3">
      <c r="D19" s="37">
        <v>17</v>
      </c>
      <c r="E19" s="37">
        <v>9</v>
      </c>
      <c r="F19" s="39">
        <v>100000</v>
      </c>
      <c r="G19" s="41">
        <v>81.7</v>
      </c>
      <c r="H19" s="35">
        <v>5.7</v>
      </c>
      <c r="I19" s="35">
        <v>4.7</v>
      </c>
      <c r="J19" s="43">
        <v>6.1699999999999998E-2</v>
      </c>
      <c r="S19" s="3">
        <v>1</v>
      </c>
      <c r="T19" s="3">
        <v>17</v>
      </c>
      <c r="U19" s="3">
        <v>10</v>
      </c>
      <c r="V19" s="3">
        <v>10</v>
      </c>
    </row>
    <row r="20" spans="4:22" x14ac:dyDescent="0.3">
      <c r="D20" s="38">
        <v>18</v>
      </c>
      <c r="E20" s="38">
        <v>9</v>
      </c>
      <c r="F20" s="40">
        <v>100000</v>
      </c>
      <c r="G20" s="42">
        <v>81.8</v>
      </c>
      <c r="H20" s="36">
        <v>5.8</v>
      </c>
      <c r="I20" s="36">
        <v>4.8</v>
      </c>
      <c r="J20" s="44">
        <v>6.1800000000000001E-2</v>
      </c>
      <c r="S20" s="5">
        <v>1</v>
      </c>
      <c r="T20" s="5">
        <v>18</v>
      </c>
      <c r="U20" s="5">
        <v>1</v>
      </c>
      <c r="V20" s="5">
        <v>1</v>
      </c>
    </row>
    <row r="21" spans="4:22" x14ac:dyDescent="0.3">
      <c r="D21" s="37">
        <v>19</v>
      </c>
      <c r="E21" s="37">
        <v>10</v>
      </c>
      <c r="F21" s="39">
        <v>100000</v>
      </c>
      <c r="G21" s="41">
        <v>81.900000000000006</v>
      </c>
      <c r="H21" s="35">
        <v>5.9</v>
      </c>
      <c r="I21" s="35">
        <v>4.9000000000000004</v>
      </c>
      <c r="J21" s="43">
        <v>6.1899999999999997E-2</v>
      </c>
      <c r="S21" s="3">
        <v>1</v>
      </c>
      <c r="T21" s="3">
        <v>19</v>
      </c>
      <c r="U21" s="3">
        <v>10</v>
      </c>
      <c r="V21" s="3">
        <v>10</v>
      </c>
    </row>
    <row r="22" spans="4:22" x14ac:dyDescent="0.3">
      <c r="D22" s="38">
        <v>20</v>
      </c>
      <c r="E22" s="38">
        <v>10</v>
      </c>
      <c r="F22" s="40">
        <v>100000</v>
      </c>
      <c r="G22" s="42">
        <v>82</v>
      </c>
      <c r="H22" s="36">
        <v>6</v>
      </c>
      <c r="I22" s="36">
        <v>5</v>
      </c>
      <c r="J22" s="44">
        <v>6.2E-2</v>
      </c>
      <c r="S22" s="5">
        <v>1</v>
      </c>
      <c r="T22" s="5">
        <v>20</v>
      </c>
      <c r="U22" s="5">
        <v>7</v>
      </c>
      <c r="V22" s="5">
        <v>7</v>
      </c>
    </row>
    <row r="23" spans="4:22" x14ac:dyDescent="0.3">
      <c r="D23"/>
      <c r="E23"/>
      <c r="F23"/>
      <c r="G23"/>
      <c r="H23"/>
      <c r="I23"/>
      <c r="J23"/>
      <c r="S23" s="3">
        <v>2</v>
      </c>
      <c r="T23" s="3">
        <v>1</v>
      </c>
      <c r="U23" s="3">
        <v>3</v>
      </c>
      <c r="V23" s="3">
        <v>3</v>
      </c>
    </row>
    <row r="24" spans="4:22" x14ac:dyDescent="0.3">
      <c r="S24" s="5">
        <v>2</v>
      </c>
      <c r="T24" s="5">
        <v>2</v>
      </c>
      <c r="U24" s="5">
        <v>1</v>
      </c>
      <c r="V24" s="5">
        <v>1</v>
      </c>
    </row>
    <row r="25" spans="4:22" x14ac:dyDescent="0.3">
      <c r="S25" s="3">
        <v>2</v>
      </c>
      <c r="T25" s="3">
        <v>3</v>
      </c>
      <c r="U25" s="3">
        <v>10</v>
      </c>
      <c r="V25" s="3">
        <v>10</v>
      </c>
    </row>
    <row r="26" spans="4:22" x14ac:dyDescent="0.3">
      <c r="S26" s="5">
        <v>2</v>
      </c>
      <c r="T26" s="5">
        <v>4</v>
      </c>
      <c r="U26" s="5">
        <v>6</v>
      </c>
      <c r="V26" s="5">
        <v>6</v>
      </c>
    </row>
    <row r="27" spans="4:22" x14ac:dyDescent="0.3">
      <c r="S27" s="3">
        <v>2</v>
      </c>
      <c r="T27" s="3">
        <v>5</v>
      </c>
      <c r="U27" s="3">
        <v>2</v>
      </c>
      <c r="V27" s="3">
        <v>2</v>
      </c>
    </row>
    <row r="28" spans="4:22" x14ac:dyDescent="0.3">
      <c r="S28" s="5">
        <v>2</v>
      </c>
      <c r="T28" s="5">
        <v>6</v>
      </c>
      <c r="U28" s="5">
        <v>9</v>
      </c>
      <c r="V28" s="5">
        <v>9</v>
      </c>
    </row>
    <row r="29" spans="4:22" x14ac:dyDescent="0.3">
      <c r="S29" s="3">
        <v>2</v>
      </c>
      <c r="T29" s="3">
        <v>7</v>
      </c>
      <c r="U29" s="3">
        <v>9</v>
      </c>
      <c r="V29" s="3">
        <v>9</v>
      </c>
    </row>
    <row r="30" spans="4:22" x14ac:dyDescent="0.3">
      <c r="S30" s="5">
        <v>2</v>
      </c>
      <c r="T30" s="5">
        <v>8</v>
      </c>
      <c r="U30" s="5">
        <v>9</v>
      </c>
      <c r="V30" s="5">
        <v>9</v>
      </c>
    </row>
    <row r="31" spans="4:22" x14ac:dyDescent="0.3">
      <c r="S31" s="3">
        <v>2</v>
      </c>
      <c r="T31" s="3">
        <v>9</v>
      </c>
      <c r="U31" s="3">
        <v>7</v>
      </c>
      <c r="V31" s="3">
        <v>7</v>
      </c>
    </row>
    <row r="32" spans="4:22" x14ac:dyDescent="0.3">
      <c r="S32" s="5">
        <v>2</v>
      </c>
      <c r="T32" s="5">
        <v>10</v>
      </c>
      <c r="U32" s="5">
        <v>10</v>
      </c>
      <c r="V32" s="5">
        <v>10</v>
      </c>
    </row>
    <row r="33" spans="19:22" x14ac:dyDescent="0.3">
      <c r="S33" s="3">
        <v>2</v>
      </c>
      <c r="T33" s="3">
        <v>11</v>
      </c>
      <c r="U33" s="3">
        <v>2</v>
      </c>
      <c r="V33" s="3">
        <v>2</v>
      </c>
    </row>
    <row r="34" spans="19:22" x14ac:dyDescent="0.3">
      <c r="S34" s="5">
        <v>2</v>
      </c>
      <c r="T34" s="5">
        <v>12</v>
      </c>
      <c r="U34" s="5">
        <v>1</v>
      </c>
      <c r="V34" s="5">
        <v>1</v>
      </c>
    </row>
    <row r="35" spans="19:22" x14ac:dyDescent="0.3">
      <c r="S35" s="3">
        <v>2</v>
      </c>
      <c r="T35" s="3">
        <v>13</v>
      </c>
      <c r="U35" s="3">
        <v>5</v>
      </c>
      <c r="V35" s="3">
        <v>5</v>
      </c>
    </row>
    <row r="36" spans="19:22" x14ac:dyDescent="0.3">
      <c r="S36" s="5">
        <v>2</v>
      </c>
      <c r="T36" s="5">
        <v>14</v>
      </c>
      <c r="U36" s="5">
        <v>10</v>
      </c>
      <c r="V36" s="5">
        <v>10</v>
      </c>
    </row>
    <row r="37" spans="19:22" x14ac:dyDescent="0.3">
      <c r="S37" s="3">
        <v>2</v>
      </c>
      <c r="T37" s="3">
        <v>15</v>
      </c>
      <c r="U37" s="3">
        <v>2</v>
      </c>
      <c r="V37" s="3">
        <v>2</v>
      </c>
    </row>
    <row r="38" spans="19:22" x14ac:dyDescent="0.3">
      <c r="S38" s="5">
        <v>2</v>
      </c>
      <c r="T38" s="5">
        <v>16</v>
      </c>
      <c r="U38" s="5">
        <v>8</v>
      </c>
      <c r="V38" s="5">
        <v>8</v>
      </c>
    </row>
    <row r="39" spans="19:22" x14ac:dyDescent="0.3">
      <c r="S39" s="3">
        <v>2</v>
      </c>
      <c r="T39" s="3">
        <v>17</v>
      </c>
      <c r="U39" s="3">
        <v>3</v>
      </c>
      <c r="V39" s="3">
        <v>3</v>
      </c>
    </row>
    <row r="40" spans="19:22" x14ac:dyDescent="0.3">
      <c r="S40" s="5">
        <v>2</v>
      </c>
      <c r="T40" s="5">
        <v>18</v>
      </c>
      <c r="U40" s="5">
        <v>4</v>
      </c>
      <c r="V40" s="5">
        <v>4</v>
      </c>
    </row>
    <row r="41" spans="19:22" x14ac:dyDescent="0.3">
      <c r="S41" s="3">
        <v>2</v>
      </c>
      <c r="T41" s="3">
        <v>19</v>
      </c>
      <c r="U41" s="3">
        <v>4</v>
      </c>
      <c r="V41" s="3">
        <v>4</v>
      </c>
    </row>
    <row r="42" spans="19:22" x14ac:dyDescent="0.3">
      <c r="S42" s="5">
        <v>2</v>
      </c>
      <c r="T42" s="5">
        <v>20</v>
      </c>
      <c r="U42" s="5">
        <v>6</v>
      </c>
      <c r="V42" s="5">
        <v>6</v>
      </c>
    </row>
    <row r="43" spans="19:22" x14ac:dyDescent="0.3">
      <c r="S43" s="3">
        <v>3</v>
      </c>
      <c r="T43" s="3">
        <v>1</v>
      </c>
      <c r="U43" s="3">
        <v>10</v>
      </c>
      <c r="V43" s="3">
        <v>10</v>
      </c>
    </row>
    <row r="44" spans="19:22" x14ac:dyDescent="0.3">
      <c r="S44" s="5">
        <v>3</v>
      </c>
      <c r="T44" s="5">
        <v>2</v>
      </c>
      <c r="U44" s="5">
        <v>5</v>
      </c>
      <c r="V44" s="5">
        <v>5</v>
      </c>
    </row>
    <row r="45" spans="19:22" x14ac:dyDescent="0.3">
      <c r="S45" s="3">
        <v>3</v>
      </c>
      <c r="T45" s="3">
        <v>3</v>
      </c>
      <c r="U45" s="3">
        <v>1</v>
      </c>
      <c r="V45" s="3">
        <v>1</v>
      </c>
    </row>
    <row r="46" spans="19:22" x14ac:dyDescent="0.3">
      <c r="S46" s="5">
        <v>3</v>
      </c>
      <c r="T46" s="5">
        <v>4</v>
      </c>
      <c r="U46" s="5">
        <v>8</v>
      </c>
      <c r="V46" s="5">
        <v>8</v>
      </c>
    </row>
    <row r="47" spans="19:22" x14ac:dyDescent="0.3">
      <c r="S47" s="3">
        <v>3</v>
      </c>
      <c r="T47" s="3">
        <v>5</v>
      </c>
      <c r="U47" s="3">
        <v>6</v>
      </c>
      <c r="V47" s="3">
        <v>6</v>
      </c>
    </row>
    <row r="48" spans="19:22" x14ac:dyDescent="0.3">
      <c r="S48" s="5">
        <v>3</v>
      </c>
      <c r="T48" s="5">
        <v>6</v>
      </c>
      <c r="U48" s="5">
        <v>3</v>
      </c>
      <c r="V48" s="5">
        <v>3</v>
      </c>
    </row>
    <row r="49" spans="19:22" x14ac:dyDescent="0.3">
      <c r="S49" s="3">
        <v>3</v>
      </c>
      <c r="T49" s="3">
        <v>7</v>
      </c>
      <c r="U49" s="3">
        <v>7</v>
      </c>
      <c r="V49" s="3">
        <v>7</v>
      </c>
    </row>
    <row r="50" spans="19:22" x14ac:dyDescent="0.3">
      <c r="S50" s="5">
        <v>3</v>
      </c>
      <c r="T50" s="5">
        <v>8</v>
      </c>
      <c r="U50" s="5">
        <v>7</v>
      </c>
      <c r="V50" s="5">
        <v>7</v>
      </c>
    </row>
    <row r="51" spans="19:22" x14ac:dyDescent="0.3">
      <c r="S51" s="3">
        <v>3</v>
      </c>
      <c r="T51" s="3">
        <v>9</v>
      </c>
      <c r="U51" s="3">
        <v>4</v>
      </c>
      <c r="V51" s="3">
        <v>4</v>
      </c>
    </row>
    <row r="52" spans="19:22" x14ac:dyDescent="0.3">
      <c r="S52" s="5">
        <v>3</v>
      </c>
      <c r="T52" s="5">
        <v>10</v>
      </c>
      <c r="U52" s="5">
        <v>5</v>
      </c>
      <c r="V52" s="5">
        <v>5</v>
      </c>
    </row>
    <row r="53" spans="19:22" x14ac:dyDescent="0.3">
      <c r="S53" s="3">
        <v>3</v>
      </c>
      <c r="T53" s="3">
        <v>11</v>
      </c>
      <c r="U53" s="3">
        <v>6</v>
      </c>
      <c r="V53" s="3">
        <v>6</v>
      </c>
    </row>
    <row r="54" spans="19:22" x14ac:dyDescent="0.3">
      <c r="S54" s="5">
        <v>3</v>
      </c>
      <c r="T54" s="5">
        <v>12</v>
      </c>
      <c r="U54" s="5">
        <v>10</v>
      </c>
      <c r="V54" s="5">
        <v>10</v>
      </c>
    </row>
    <row r="55" spans="19:22" x14ac:dyDescent="0.3">
      <c r="S55" s="3">
        <v>3</v>
      </c>
      <c r="T55" s="3">
        <v>13</v>
      </c>
      <c r="U55" s="3">
        <v>10</v>
      </c>
      <c r="V55" s="3">
        <v>10</v>
      </c>
    </row>
    <row r="56" spans="19:22" x14ac:dyDescent="0.3">
      <c r="S56" s="5">
        <v>3</v>
      </c>
      <c r="T56" s="5">
        <v>14</v>
      </c>
      <c r="U56" s="5">
        <v>5</v>
      </c>
      <c r="V56" s="5">
        <v>5</v>
      </c>
    </row>
    <row r="57" spans="19:22" x14ac:dyDescent="0.3">
      <c r="S57" s="3">
        <v>3</v>
      </c>
      <c r="T57" s="3">
        <v>15</v>
      </c>
      <c r="U57" s="3">
        <v>4</v>
      </c>
      <c r="V57" s="3">
        <v>4</v>
      </c>
    </row>
    <row r="58" spans="19:22" x14ac:dyDescent="0.3">
      <c r="S58" s="5">
        <v>3</v>
      </c>
      <c r="T58" s="5">
        <v>16</v>
      </c>
      <c r="U58" s="5">
        <v>8</v>
      </c>
      <c r="V58" s="5">
        <v>8</v>
      </c>
    </row>
    <row r="59" spans="19:22" x14ac:dyDescent="0.3">
      <c r="S59" s="3">
        <v>3</v>
      </c>
      <c r="T59" s="3">
        <v>17</v>
      </c>
      <c r="U59" s="3">
        <v>1</v>
      </c>
      <c r="V59" s="3">
        <v>1</v>
      </c>
    </row>
    <row r="60" spans="19:22" x14ac:dyDescent="0.3">
      <c r="S60" s="5">
        <v>3</v>
      </c>
      <c r="T60" s="5">
        <v>18</v>
      </c>
      <c r="U60" s="5">
        <v>10</v>
      </c>
      <c r="V60" s="5">
        <v>10</v>
      </c>
    </row>
    <row r="61" spans="19:22" x14ac:dyDescent="0.3">
      <c r="S61" s="3">
        <v>3</v>
      </c>
      <c r="T61" s="3">
        <v>19</v>
      </c>
      <c r="U61" s="3">
        <v>2</v>
      </c>
      <c r="V61" s="3">
        <v>2</v>
      </c>
    </row>
    <row r="62" spans="19:22" x14ac:dyDescent="0.3">
      <c r="S62" s="5">
        <v>3</v>
      </c>
      <c r="T62" s="5">
        <v>20</v>
      </c>
      <c r="U62" s="5">
        <v>9</v>
      </c>
      <c r="V62" s="5">
        <v>9</v>
      </c>
    </row>
    <row r="63" spans="19:22" x14ac:dyDescent="0.3">
      <c r="S63" s="3">
        <v>4</v>
      </c>
      <c r="T63" s="3">
        <v>1</v>
      </c>
      <c r="U63" s="3">
        <v>8</v>
      </c>
      <c r="V63" s="3">
        <v>8</v>
      </c>
    </row>
    <row r="64" spans="19:22" x14ac:dyDescent="0.3">
      <c r="S64" s="5">
        <v>4</v>
      </c>
      <c r="T64" s="5">
        <v>2</v>
      </c>
      <c r="U64" s="5">
        <v>7</v>
      </c>
      <c r="V64" s="5">
        <v>7</v>
      </c>
    </row>
    <row r="65" spans="19:22" x14ac:dyDescent="0.3">
      <c r="S65" s="3">
        <v>4</v>
      </c>
      <c r="T65" s="3">
        <v>3</v>
      </c>
      <c r="U65" s="3">
        <v>8</v>
      </c>
      <c r="V65" s="3">
        <v>8</v>
      </c>
    </row>
    <row r="66" spans="19:22" x14ac:dyDescent="0.3">
      <c r="S66" s="5">
        <v>4</v>
      </c>
      <c r="T66" s="5">
        <v>4</v>
      </c>
      <c r="U66" s="5">
        <v>1</v>
      </c>
      <c r="V66" s="5">
        <v>1</v>
      </c>
    </row>
    <row r="67" spans="19:22" x14ac:dyDescent="0.3">
      <c r="S67" s="3">
        <v>4</v>
      </c>
      <c r="T67" s="3">
        <v>5</v>
      </c>
      <c r="U67" s="3">
        <v>2</v>
      </c>
      <c r="V67" s="3">
        <v>2</v>
      </c>
    </row>
    <row r="68" spans="19:22" x14ac:dyDescent="0.3">
      <c r="S68" s="5">
        <v>4</v>
      </c>
      <c r="T68" s="5">
        <v>6</v>
      </c>
      <c r="U68" s="5">
        <v>3</v>
      </c>
      <c r="V68" s="5">
        <v>3</v>
      </c>
    </row>
    <row r="69" spans="19:22" x14ac:dyDescent="0.3">
      <c r="S69" s="3">
        <v>4</v>
      </c>
      <c r="T69" s="3">
        <v>7</v>
      </c>
      <c r="U69" s="3">
        <v>9</v>
      </c>
      <c r="V69" s="3">
        <v>9</v>
      </c>
    </row>
    <row r="70" spans="19:22" x14ac:dyDescent="0.3">
      <c r="S70" s="5">
        <v>4</v>
      </c>
      <c r="T70" s="5">
        <v>8</v>
      </c>
      <c r="U70" s="5">
        <v>7</v>
      </c>
      <c r="V70" s="5">
        <v>7</v>
      </c>
    </row>
    <row r="71" spans="19:22" x14ac:dyDescent="0.3">
      <c r="S71" s="3">
        <v>4</v>
      </c>
      <c r="T71" s="3">
        <v>9</v>
      </c>
      <c r="U71" s="3">
        <v>9</v>
      </c>
      <c r="V71" s="3">
        <v>9</v>
      </c>
    </row>
    <row r="72" spans="19:22" x14ac:dyDescent="0.3">
      <c r="S72" s="5">
        <v>4</v>
      </c>
      <c r="T72" s="5">
        <v>10</v>
      </c>
      <c r="U72" s="5">
        <v>8</v>
      </c>
      <c r="V72" s="5">
        <v>8</v>
      </c>
    </row>
    <row r="73" spans="19:22" x14ac:dyDescent="0.3">
      <c r="S73" s="3">
        <v>4</v>
      </c>
      <c r="T73" s="3">
        <v>11</v>
      </c>
      <c r="U73" s="3">
        <v>1</v>
      </c>
      <c r="V73" s="3">
        <v>1</v>
      </c>
    </row>
    <row r="74" spans="19:22" x14ac:dyDescent="0.3">
      <c r="S74" s="5">
        <v>4</v>
      </c>
      <c r="T74" s="5">
        <v>12</v>
      </c>
      <c r="U74" s="5">
        <v>2</v>
      </c>
      <c r="V74" s="5">
        <v>2</v>
      </c>
    </row>
    <row r="75" spans="19:22" x14ac:dyDescent="0.3">
      <c r="S75" s="3">
        <v>4</v>
      </c>
      <c r="T75" s="3">
        <v>13</v>
      </c>
      <c r="U75" s="3">
        <v>7</v>
      </c>
      <c r="V75" s="3">
        <v>7</v>
      </c>
    </row>
    <row r="76" spans="19:22" x14ac:dyDescent="0.3">
      <c r="S76" s="5">
        <v>4</v>
      </c>
      <c r="T76" s="5">
        <v>14</v>
      </c>
      <c r="U76" s="5">
        <v>9</v>
      </c>
      <c r="V76" s="5">
        <v>9</v>
      </c>
    </row>
    <row r="77" spans="19:22" x14ac:dyDescent="0.3">
      <c r="S77" s="3">
        <v>4</v>
      </c>
      <c r="T77" s="3">
        <v>15</v>
      </c>
      <c r="U77" s="3">
        <v>5</v>
      </c>
      <c r="V77" s="3">
        <v>5</v>
      </c>
    </row>
    <row r="78" spans="19:22" x14ac:dyDescent="0.3">
      <c r="S78" s="5">
        <v>4</v>
      </c>
      <c r="T78" s="5">
        <v>16</v>
      </c>
      <c r="U78" s="5">
        <v>7</v>
      </c>
      <c r="V78" s="5">
        <v>7</v>
      </c>
    </row>
    <row r="79" spans="19:22" x14ac:dyDescent="0.3">
      <c r="S79" s="3">
        <v>4</v>
      </c>
      <c r="T79" s="3">
        <v>17</v>
      </c>
      <c r="U79" s="3">
        <v>5</v>
      </c>
      <c r="V79" s="3">
        <v>5</v>
      </c>
    </row>
    <row r="80" spans="19:22" x14ac:dyDescent="0.3">
      <c r="S80" s="5">
        <v>4</v>
      </c>
      <c r="T80" s="5">
        <v>18</v>
      </c>
      <c r="U80" s="5">
        <v>4</v>
      </c>
      <c r="V80" s="5">
        <v>4</v>
      </c>
    </row>
    <row r="81" spans="19:22" x14ac:dyDescent="0.3">
      <c r="S81" s="3">
        <v>4</v>
      </c>
      <c r="T81" s="3">
        <v>19</v>
      </c>
      <c r="U81" s="3">
        <v>1</v>
      </c>
      <c r="V81" s="3">
        <v>1</v>
      </c>
    </row>
    <row r="82" spans="19:22" x14ac:dyDescent="0.3">
      <c r="S82" s="5">
        <v>4</v>
      </c>
      <c r="T82" s="5">
        <v>20</v>
      </c>
      <c r="U82" s="5">
        <v>3</v>
      </c>
      <c r="V82" s="5">
        <v>3</v>
      </c>
    </row>
    <row r="83" spans="19:22" x14ac:dyDescent="0.3">
      <c r="S83" s="3">
        <v>5</v>
      </c>
      <c r="T83" s="3">
        <v>1</v>
      </c>
      <c r="U83" s="3">
        <v>7</v>
      </c>
      <c r="V83" s="3">
        <v>7</v>
      </c>
    </row>
    <row r="84" spans="19:22" x14ac:dyDescent="0.3">
      <c r="S84" s="5">
        <v>5</v>
      </c>
      <c r="T84" s="5">
        <v>2</v>
      </c>
      <c r="U84" s="5">
        <v>3</v>
      </c>
      <c r="V84" s="5">
        <v>3</v>
      </c>
    </row>
    <row r="85" spans="19:22" x14ac:dyDescent="0.3">
      <c r="S85" s="3">
        <v>5</v>
      </c>
      <c r="T85" s="3">
        <v>3</v>
      </c>
      <c r="U85" s="3">
        <v>3</v>
      </c>
      <c r="V85" s="3">
        <v>3</v>
      </c>
    </row>
    <row r="86" spans="19:22" x14ac:dyDescent="0.3">
      <c r="S86" s="5">
        <v>5</v>
      </c>
      <c r="T86" s="5">
        <v>4</v>
      </c>
      <c r="U86" s="5">
        <v>2</v>
      </c>
      <c r="V86" s="5">
        <v>2</v>
      </c>
    </row>
    <row r="87" spans="19:22" x14ac:dyDescent="0.3">
      <c r="S87" s="3">
        <v>5</v>
      </c>
      <c r="T87" s="3">
        <v>5</v>
      </c>
      <c r="U87" s="3">
        <v>1</v>
      </c>
      <c r="V87" s="3">
        <v>1</v>
      </c>
    </row>
    <row r="88" spans="19:22" x14ac:dyDescent="0.3">
      <c r="S88" s="5">
        <v>5</v>
      </c>
      <c r="T88" s="5">
        <v>6</v>
      </c>
      <c r="U88" s="5">
        <v>3</v>
      </c>
      <c r="V88" s="5">
        <v>3</v>
      </c>
    </row>
    <row r="89" spans="19:22" x14ac:dyDescent="0.3">
      <c r="S89" s="3">
        <v>5</v>
      </c>
      <c r="T89" s="3">
        <v>7</v>
      </c>
      <c r="U89" s="3">
        <v>3</v>
      </c>
      <c r="V89" s="3">
        <v>3</v>
      </c>
    </row>
    <row r="90" spans="19:22" x14ac:dyDescent="0.3">
      <c r="S90" s="5">
        <v>5</v>
      </c>
      <c r="T90" s="5">
        <v>8</v>
      </c>
      <c r="U90" s="5">
        <v>7</v>
      </c>
      <c r="V90" s="5">
        <v>7</v>
      </c>
    </row>
    <row r="91" spans="19:22" x14ac:dyDescent="0.3">
      <c r="S91" s="3">
        <v>5</v>
      </c>
      <c r="T91" s="3">
        <v>9</v>
      </c>
      <c r="U91" s="3">
        <v>9</v>
      </c>
      <c r="V91" s="3">
        <v>9</v>
      </c>
    </row>
    <row r="92" spans="19:22" x14ac:dyDescent="0.3">
      <c r="S92" s="5">
        <v>5</v>
      </c>
      <c r="T92" s="5">
        <v>10</v>
      </c>
      <c r="U92" s="5">
        <v>3</v>
      </c>
      <c r="V92" s="5">
        <v>3</v>
      </c>
    </row>
    <row r="93" spans="19:22" x14ac:dyDescent="0.3">
      <c r="S93" s="3">
        <v>5</v>
      </c>
      <c r="T93" s="3">
        <v>11</v>
      </c>
      <c r="U93" s="3">
        <v>10</v>
      </c>
      <c r="V93" s="3">
        <v>10</v>
      </c>
    </row>
    <row r="94" spans="19:22" x14ac:dyDescent="0.3">
      <c r="S94" s="5">
        <v>5</v>
      </c>
      <c r="T94" s="5">
        <v>12</v>
      </c>
      <c r="U94" s="5">
        <v>3</v>
      </c>
      <c r="V94" s="5">
        <v>3</v>
      </c>
    </row>
    <row r="95" spans="19:22" x14ac:dyDescent="0.3">
      <c r="S95" s="3">
        <v>5</v>
      </c>
      <c r="T95" s="3">
        <v>13</v>
      </c>
      <c r="U95" s="3">
        <v>2</v>
      </c>
      <c r="V95" s="3">
        <v>2</v>
      </c>
    </row>
    <row r="96" spans="19:22" x14ac:dyDescent="0.3">
      <c r="S96" s="5">
        <v>5</v>
      </c>
      <c r="T96" s="5">
        <v>14</v>
      </c>
      <c r="U96" s="5">
        <v>2</v>
      </c>
      <c r="V96" s="5">
        <v>2</v>
      </c>
    </row>
    <row r="97" spans="19:22" x14ac:dyDescent="0.3">
      <c r="S97" s="3">
        <v>5</v>
      </c>
      <c r="T97" s="3">
        <v>15</v>
      </c>
      <c r="U97" s="3">
        <v>10</v>
      </c>
      <c r="V97" s="3">
        <v>10</v>
      </c>
    </row>
    <row r="98" spans="19:22" x14ac:dyDescent="0.3">
      <c r="S98" s="5">
        <v>5</v>
      </c>
      <c r="T98" s="5">
        <v>16</v>
      </c>
      <c r="U98" s="5">
        <v>10</v>
      </c>
      <c r="V98" s="5">
        <v>10</v>
      </c>
    </row>
    <row r="99" spans="19:22" x14ac:dyDescent="0.3">
      <c r="S99" s="3">
        <v>5</v>
      </c>
      <c r="T99" s="3">
        <v>17</v>
      </c>
      <c r="U99" s="3">
        <v>8</v>
      </c>
      <c r="V99" s="3">
        <v>8</v>
      </c>
    </row>
    <row r="100" spans="19:22" x14ac:dyDescent="0.3">
      <c r="S100" s="5">
        <v>5</v>
      </c>
      <c r="T100" s="5">
        <v>18</v>
      </c>
      <c r="U100" s="5">
        <v>6</v>
      </c>
      <c r="V100" s="5">
        <v>6</v>
      </c>
    </row>
    <row r="101" spans="19:22" x14ac:dyDescent="0.3">
      <c r="S101" s="3">
        <v>5</v>
      </c>
      <c r="T101" s="3">
        <v>19</v>
      </c>
      <c r="U101" s="3">
        <v>2</v>
      </c>
      <c r="V101" s="3">
        <v>2</v>
      </c>
    </row>
    <row r="102" spans="19:22" x14ac:dyDescent="0.3">
      <c r="S102" s="5">
        <v>5</v>
      </c>
      <c r="T102" s="5">
        <v>20</v>
      </c>
      <c r="U102" s="5">
        <v>4</v>
      </c>
      <c r="V102" s="5">
        <v>4</v>
      </c>
    </row>
    <row r="103" spans="19:22" x14ac:dyDescent="0.3">
      <c r="S103" s="3">
        <v>6</v>
      </c>
      <c r="T103" s="3">
        <v>1</v>
      </c>
      <c r="U103" s="3">
        <v>8</v>
      </c>
      <c r="V103" s="3">
        <v>8</v>
      </c>
    </row>
    <row r="104" spans="19:22" x14ac:dyDescent="0.3">
      <c r="S104" s="5">
        <v>6</v>
      </c>
      <c r="T104" s="5">
        <v>2</v>
      </c>
      <c r="U104" s="5">
        <v>5</v>
      </c>
      <c r="V104" s="5">
        <v>5</v>
      </c>
    </row>
    <row r="105" spans="19:22" x14ac:dyDescent="0.3">
      <c r="S105" s="3">
        <v>6</v>
      </c>
      <c r="T105" s="3">
        <v>3</v>
      </c>
      <c r="U105" s="3">
        <v>3</v>
      </c>
      <c r="V105" s="3">
        <v>3</v>
      </c>
    </row>
    <row r="106" spans="19:22" x14ac:dyDescent="0.3">
      <c r="S106" s="5">
        <v>6</v>
      </c>
      <c r="T106" s="5">
        <v>4</v>
      </c>
      <c r="U106" s="5">
        <v>6</v>
      </c>
      <c r="V106" s="5">
        <v>6</v>
      </c>
    </row>
    <row r="107" spans="19:22" x14ac:dyDescent="0.3">
      <c r="S107" s="3">
        <v>6</v>
      </c>
      <c r="T107" s="3">
        <v>5</v>
      </c>
      <c r="U107" s="3">
        <v>8</v>
      </c>
      <c r="V107" s="3">
        <v>8</v>
      </c>
    </row>
    <row r="108" spans="19:22" x14ac:dyDescent="0.3">
      <c r="S108" s="5">
        <v>6</v>
      </c>
      <c r="T108" s="5">
        <v>6</v>
      </c>
      <c r="U108" s="5">
        <v>1</v>
      </c>
      <c r="V108" s="5">
        <v>1</v>
      </c>
    </row>
    <row r="109" spans="19:22" x14ac:dyDescent="0.3">
      <c r="S109" s="3">
        <v>6</v>
      </c>
      <c r="T109" s="3">
        <v>7</v>
      </c>
      <c r="U109" s="3">
        <v>6</v>
      </c>
      <c r="V109" s="3">
        <v>6</v>
      </c>
    </row>
    <row r="110" spans="19:22" x14ac:dyDescent="0.3">
      <c r="S110" s="5">
        <v>6</v>
      </c>
      <c r="T110" s="5">
        <v>8</v>
      </c>
      <c r="U110" s="5">
        <v>3</v>
      </c>
      <c r="V110" s="5">
        <v>3</v>
      </c>
    </row>
    <row r="111" spans="19:22" x14ac:dyDescent="0.3">
      <c r="S111" s="3">
        <v>6</v>
      </c>
      <c r="T111" s="3">
        <v>9</v>
      </c>
      <c r="U111" s="3">
        <v>1</v>
      </c>
      <c r="V111" s="3">
        <v>1</v>
      </c>
    </row>
    <row r="112" spans="19:22" x14ac:dyDescent="0.3">
      <c r="S112" s="5">
        <v>6</v>
      </c>
      <c r="T112" s="5">
        <v>10</v>
      </c>
      <c r="U112" s="5">
        <v>9</v>
      </c>
      <c r="V112" s="5">
        <v>9</v>
      </c>
    </row>
    <row r="113" spans="19:22" x14ac:dyDescent="0.3">
      <c r="S113" s="3">
        <v>6</v>
      </c>
      <c r="T113" s="3">
        <v>11</v>
      </c>
      <c r="U113" s="3">
        <v>3</v>
      </c>
      <c r="V113" s="3">
        <v>3</v>
      </c>
    </row>
    <row r="114" spans="19:22" x14ac:dyDescent="0.3">
      <c r="S114" s="5">
        <v>6</v>
      </c>
      <c r="T114" s="5">
        <v>12</v>
      </c>
      <c r="U114" s="5">
        <v>9</v>
      </c>
      <c r="V114" s="5">
        <v>9</v>
      </c>
    </row>
    <row r="115" spans="19:22" x14ac:dyDescent="0.3">
      <c r="S115" s="3">
        <v>6</v>
      </c>
      <c r="T115" s="3">
        <v>13</v>
      </c>
      <c r="U115" s="3">
        <v>3</v>
      </c>
      <c r="V115" s="3">
        <v>3</v>
      </c>
    </row>
    <row r="116" spans="19:22" x14ac:dyDescent="0.3">
      <c r="S116" s="5">
        <v>6</v>
      </c>
      <c r="T116" s="5">
        <v>14</v>
      </c>
      <c r="U116" s="5">
        <v>4</v>
      </c>
      <c r="V116" s="5">
        <v>4</v>
      </c>
    </row>
    <row r="117" spans="19:22" x14ac:dyDescent="0.3">
      <c r="S117" s="3">
        <v>6</v>
      </c>
      <c r="T117" s="3">
        <v>15</v>
      </c>
      <c r="U117" s="3">
        <v>6</v>
      </c>
      <c r="V117" s="3">
        <v>6</v>
      </c>
    </row>
    <row r="118" spans="19:22" x14ac:dyDescent="0.3">
      <c r="S118" s="5">
        <v>6</v>
      </c>
      <c r="T118" s="5">
        <v>16</v>
      </c>
      <c r="U118" s="5">
        <v>6</v>
      </c>
      <c r="V118" s="5">
        <v>6</v>
      </c>
    </row>
    <row r="119" spans="19:22" x14ac:dyDescent="0.3">
      <c r="S119" s="3">
        <v>6</v>
      </c>
      <c r="T119" s="3">
        <v>17</v>
      </c>
      <c r="U119" s="3">
        <v>5</v>
      </c>
      <c r="V119" s="3">
        <v>5</v>
      </c>
    </row>
    <row r="120" spans="19:22" x14ac:dyDescent="0.3">
      <c r="S120" s="5">
        <v>6</v>
      </c>
      <c r="T120" s="5">
        <v>18</v>
      </c>
      <c r="U120" s="5">
        <v>3</v>
      </c>
      <c r="V120" s="5">
        <v>3</v>
      </c>
    </row>
    <row r="121" spans="19:22" x14ac:dyDescent="0.3">
      <c r="S121" s="3">
        <v>6</v>
      </c>
      <c r="T121" s="3">
        <v>19</v>
      </c>
      <c r="U121" s="3">
        <v>1</v>
      </c>
      <c r="V121" s="3">
        <v>1</v>
      </c>
    </row>
    <row r="122" spans="19:22" x14ac:dyDescent="0.3">
      <c r="S122" s="5">
        <v>6</v>
      </c>
      <c r="T122" s="5">
        <v>20</v>
      </c>
      <c r="U122" s="5">
        <v>10</v>
      </c>
      <c r="V122" s="5">
        <v>10</v>
      </c>
    </row>
    <row r="123" spans="19:22" x14ac:dyDescent="0.3">
      <c r="S123" s="3">
        <v>7</v>
      </c>
      <c r="T123" s="3">
        <v>1</v>
      </c>
      <c r="U123" s="3">
        <v>5</v>
      </c>
      <c r="V123" s="3">
        <v>5</v>
      </c>
    </row>
    <row r="124" spans="19:22" x14ac:dyDescent="0.3">
      <c r="S124" s="5">
        <v>7</v>
      </c>
      <c r="T124" s="5">
        <v>2</v>
      </c>
      <c r="U124" s="5">
        <v>1</v>
      </c>
      <c r="V124" s="5">
        <v>1</v>
      </c>
    </row>
    <row r="125" spans="19:22" x14ac:dyDescent="0.3">
      <c r="S125" s="3">
        <v>7</v>
      </c>
      <c r="T125" s="3">
        <v>3</v>
      </c>
      <c r="U125" s="3">
        <v>2</v>
      </c>
      <c r="V125" s="3">
        <v>2</v>
      </c>
    </row>
    <row r="126" spans="19:22" x14ac:dyDescent="0.3">
      <c r="S126" s="5">
        <v>7</v>
      </c>
      <c r="T126" s="5">
        <v>4</v>
      </c>
      <c r="U126" s="5">
        <v>5</v>
      </c>
      <c r="V126" s="5">
        <v>5</v>
      </c>
    </row>
    <row r="127" spans="19:22" x14ac:dyDescent="0.3">
      <c r="S127" s="3">
        <v>7</v>
      </c>
      <c r="T127" s="3">
        <v>5</v>
      </c>
      <c r="U127" s="3">
        <v>5</v>
      </c>
      <c r="V127" s="3">
        <v>5</v>
      </c>
    </row>
    <row r="128" spans="19:22" x14ac:dyDescent="0.3">
      <c r="S128" s="5">
        <v>7</v>
      </c>
      <c r="T128" s="5">
        <v>6</v>
      </c>
      <c r="U128" s="5">
        <v>8</v>
      </c>
      <c r="V128" s="5">
        <v>8</v>
      </c>
    </row>
    <row r="129" spans="19:22" x14ac:dyDescent="0.3">
      <c r="S129" s="3">
        <v>7</v>
      </c>
      <c r="T129" s="3">
        <v>7</v>
      </c>
      <c r="U129" s="3">
        <v>1</v>
      </c>
      <c r="V129" s="3">
        <v>1</v>
      </c>
    </row>
    <row r="130" spans="19:22" x14ac:dyDescent="0.3">
      <c r="S130" s="5">
        <v>7</v>
      </c>
      <c r="T130" s="5">
        <v>8</v>
      </c>
      <c r="U130" s="5">
        <v>7</v>
      </c>
      <c r="V130" s="5">
        <v>7</v>
      </c>
    </row>
    <row r="131" spans="19:22" x14ac:dyDescent="0.3">
      <c r="S131" s="3">
        <v>7</v>
      </c>
      <c r="T131" s="3">
        <v>9</v>
      </c>
      <c r="U131" s="3">
        <v>1</v>
      </c>
      <c r="V131" s="3">
        <v>1</v>
      </c>
    </row>
    <row r="132" spans="19:22" x14ac:dyDescent="0.3">
      <c r="S132" s="5">
        <v>7</v>
      </c>
      <c r="T132" s="5">
        <v>10</v>
      </c>
      <c r="U132" s="5">
        <v>5</v>
      </c>
      <c r="V132" s="5">
        <v>5</v>
      </c>
    </row>
    <row r="133" spans="19:22" x14ac:dyDescent="0.3">
      <c r="S133" s="3">
        <v>7</v>
      </c>
      <c r="T133" s="3">
        <v>11</v>
      </c>
      <c r="U133" s="3">
        <v>8</v>
      </c>
      <c r="V133" s="3">
        <v>8</v>
      </c>
    </row>
    <row r="134" spans="19:22" x14ac:dyDescent="0.3">
      <c r="S134" s="5">
        <v>7</v>
      </c>
      <c r="T134" s="5">
        <v>12</v>
      </c>
      <c r="U134" s="5">
        <v>5</v>
      </c>
      <c r="V134" s="5">
        <v>5</v>
      </c>
    </row>
    <row r="135" spans="19:22" x14ac:dyDescent="0.3">
      <c r="S135" s="3">
        <v>7</v>
      </c>
      <c r="T135" s="3">
        <v>13</v>
      </c>
      <c r="U135" s="3">
        <v>10</v>
      </c>
      <c r="V135" s="3">
        <v>10</v>
      </c>
    </row>
    <row r="136" spans="19:22" x14ac:dyDescent="0.3">
      <c r="S136" s="5">
        <v>7</v>
      </c>
      <c r="T136" s="5">
        <v>14</v>
      </c>
      <c r="U136" s="5">
        <v>4</v>
      </c>
      <c r="V136" s="5">
        <v>4</v>
      </c>
    </row>
    <row r="137" spans="19:22" x14ac:dyDescent="0.3">
      <c r="S137" s="3">
        <v>7</v>
      </c>
      <c r="T137" s="3">
        <v>15</v>
      </c>
      <c r="U137" s="3">
        <v>2</v>
      </c>
      <c r="V137" s="3">
        <v>2</v>
      </c>
    </row>
    <row r="138" spans="19:22" x14ac:dyDescent="0.3">
      <c r="S138" s="5">
        <v>7</v>
      </c>
      <c r="T138" s="5">
        <v>16</v>
      </c>
      <c r="U138" s="5">
        <v>5</v>
      </c>
      <c r="V138" s="5">
        <v>5</v>
      </c>
    </row>
    <row r="139" spans="19:22" x14ac:dyDescent="0.3">
      <c r="S139" s="3">
        <v>7</v>
      </c>
      <c r="T139" s="3">
        <v>17</v>
      </c>
      <c r="U139" s="3">
        <v>2</v>
      </c>
      <c r="V139" s="3">
        <v>2</v>
      </c>
    </row>
    <row r="140" spans="19:22" x14ac:dyDescent="0.3">
      <c r="S140" s="5">
        <v>7</v>
      </c>
      <c r="T140" s="5">
        <v>18</v>
      </c>
      <c r="U140" s="5">
        <v>1</v>
      </c>
      <c r="V140" s="5">
        <v>1</v>
      </c>
    </row>
    <row r="141" spans="19:22" x14ac:dyDescent="0.3">
      <c r="S141" s="3">
        <v>7</v>
      </c>
      <c r="T141" s="3">
        <v>19</v>
      </c>
      <c r="U141" s="3">
        <v>3</v>
      </c>
      <c r="V141" s="3">
        <v>3</v>
      </c>
    </row>
    <row r="142" spans="19:22" x14ac:dyDescent="0.3">
      <c r="S142" s="5">
        <v>7</v>
      </c>
      <c r="T142" s="5">
        <v>20</v>
      </c>
      <c r="U142" s="5">
        <v>7</v>
      </c>
      <c r="V142" s="5">
        <v>7</v>
      </c>
    </row>
    <row r="143" spans="19:22" x14ac:dyDescent="0.3">
      <c r="S143" s="3">
        <v>8</v>
      </c>
      <c r="T143" s="3">
        <v>1</v>
      </c>
      <c r="U143" s="3">
        <v>1</v>
      </c>
      <c r="V143" s="3">
        <v>1</v>
      </c>
    </row>
    <row r="144" spans="19:22" x14ac:dyDescent="0.3">
      <c r="S144" s="5">
        <v>8</v>
      </c>
      <c r="T144" s="5">
        <v>2</v>
      </c>
      <c r="U144" s="5">
        <v>4</v>
      </c>
      <c r="V144" s="5">
        <v>4</v>
      </c>
    </row>
    <row r="145" spans="19:22" x14ac:dyDescent="0.3">
      <c r="S145" s="3">
        <v>8</v>
      </c>
      <c r="T145" s="3">
        <v>3</v>
      </c>
      <c r="U145" s="3">
        <v>3</v>
      </c>
      <c r="V145" s="3">
        <v>3</v>
      </c>
    </row>
    <row r="146" spans="19:22" x14ac:dyDescent="0.3">
      <c r="S146" s="5">
        <v>8</v>
      </c>
      <c r="T146" s="5">
        <v>4</v>
      </c>
      <c r="U146" s="5">
        <v>5</v>
      </c>
      <c r="V146" s="5">
        <v>5</v>
      </c>
    </row>
    <row r="147" spans="19:22" x14ac:dyDescent="0.3">
      <c r="S147" s="3">
        <v>8</v>
      </c>
      <c r="T147" s="3">
        <v>5</v>
      </c>
      <c r="U147" s="3">
        <v>9</v>
      </c>
      <c r="V147" s="3">
        <v>9</v>
      </c>
    </row>
    <row r="148" spans="19:22" x14ac:dyDescent="0.3">
      <c r="S148" s="5">
        <v>8</v>
      </c>
      <c r="T148" s="5">
        <v>6</v>
      </c>
      <c r="U148" s="5">
        <v>2</v>
      </c>
      <c r="V148" s="5">
        <v>2</v>
      </c>
    </row>
    <row r="149" spans="19:22" x14ac:dyDescent="0.3">
      <c r="S149" s="3">
        <v>8</v>
      </c>
      <c r="T149" s="3">
        <v>7</v>
      </c>
      <c r="U149" s="3">
        <v>1</v>
      </c>
      <c r="V149" s="3">
        <v>1</v>
      </c>
    </row>
    <row r="150" spans="19:22" x14ac:dyDescent="0.3">
      <c r="S150" s="5">
        <v>8</v>
      </c>
      <c r="T150" s="5">
        <v>8</v>
      </c>
      <c r="U150" s="5">
        <v>1</v>
      </c>
      <c r="V150" s="5">
        <v>1</v>
      </c>
    </row>
    <row r="151" spans="19:22" x14ac:dyDescent="0.3">
      <c r="S151" s="3">
        <v>8</v>
      </c>
      <c r="T151" s="3">
        <v>9</v>
      </c>
      <c r="U151" s="3">
        <v>1</v>
      </c>
      <c r="V151" s="3">
        <v>1</v>
      </c>
    </row>
    <row r="152" spans="19:22" x14ac:dyDescent="0.3">
      <c r="S152" s="5">
        <v>8</v>
      </c>
      <c r="T152" s="5">
        <v>10</v>
      </c>
      <c r="U152" s="5">
        <v>6</v>
      </c>
      <c r="V152" s="5">
        <v>6</v>
      </c>
    </row>
    <row r="153" spans="19:22" x14ac:dyDescent="0.3">
      <c r="S153" s="3">
        <v>8</v>
      </c>
      <c r="T153" s="3">
        <v>11</v>
      </c>
      <c r="U153" s="3">
        <v>4</v>
      </c>
      <c r="V153" s="3">
        <v>4</v>
      </c>
    </row>
    <row r="154" spans="19:22" x14ac:dyDescent="0.3">
      <c r="S154" s="5">
        <v>8</v>
      </c>
      <c r="T154" s="5">
        <v>12</v>
      </c>
      <c r="U154" s="5">
        <v>2</v>
      </c>
      <c r="V154" s="5">
        <v>2</v>
      </c>
    </row>
    <row r="155" spans="19:22" x14ac:dyDescent="0.3">
      <c r="S155" s="3">
        <v>8</v>
      </c>
      <c r="T155" s="3">
        <v>13</v>
      </c>
      <c r="U155" s="3">
        <v>9</v>
      </c>
      <c r="V155" s="3">
        <v>9</v>
      </c>
    </row>
    <row r="156" spans="19:22" x14ac:dyDescent="0.3">
      <c r="S156" s="5">
        <v>8</v>
      </c>
      <c r="T156" s="5">
        <v>14</v>
      </c>
      <c r="U156" s="5">
        <v>8</v>
      </c>
      <c r="V156" s="5">
        <v>8</v>
      </c>
    </row>
    <row r="157" spans="19:22" x14ac:dyDescent="0.3">
      <c r="S157" s="3">
        <v>8</v>
      </c>
      <c r="T157" s="3">
        <v>15</v>
      </c>
      <c r="U157" s="3">
        <v>6</v>
      </c>
      <c r="V157" s="3">
        <v>6</v>
      </c>
    </row>
    <row r="158" spans="19:22" x14ac:dyDescent="0.3">
      <c r="S158" s="5">
        <v>8</v>
      </c>
      <c r="T158" s="5">
        <v>16</v>
      </c>
      <c r="U158" s="5">
        <v>8</v>
      </c>
      <c r="V158" s="5">
        <v>8</v>
      </c>
    </row>
    <row r="159" spans="19:22" x14ac:dyDescent="0.3">
      <c r="S159" s="3">
        <v>8</v>
      </c>
      <c r="T159" s="3">
        <v>17</v>
      </c>
      <c r="U159" s="3">
        <v>1</v>
      </c>
      <c r="V159" s="3">
        <v>1</v>
      </c>
    </row>
    <row r="160" spans="19:22" x14ac:dyDescent="0.3">
      <c r="S160" s="5">
        <v>8</v>
      </c>
      <c r="T160" s="5">
        <v>18</v>
      </c>
      <c r="U160" s="5">
        <v>4</v>
      </c>
      <c r="V160" s="5">
        <v>4</v>
      </c>
    </row>
    <row r="161" spans="19:22" x14ac:dyDescent="0.3">
      <c r="S161" s="3">
        <v>8</v>
      </c>
      <c r="T161" s="3">
        <v>19</v>
      </c>
      <c r="U161" s="3">
        <v>7</v>
      </c>
      <c r="V161" s="3">
        <v>7</v>
      </c>
    </row>
    <row r="162" spans="19:22" x14ac:dyDescent="0.3">
      <c r="S162" s="5">
        <v>8</v>
      </c>
      <c r="T162" s="5">
        <v>20</v>
      </c>
      <c r="U162" s="5">
        <v>2</v>
      </c>
      <c r="V162" s="5">
        <v>2</v>
      </c>
    </row>
    <row r="163" spans="19:22" x14ac:dyDescent="0.3">
      <c r="S163" s="3">
        <v>9</v>
      </c>
      <c r="T163" s="3">
        <v>1</v>
      </c>
      <c r="U163" s="3">
        <v>3</v>
      </c>
      <c r="V163" s="3">
        <v>3</v>
      </c>
    </row>
    <row r="164" spans="19:22" x14ac:dyDescent="0.3">
      <c r="S164" s="5">
        <v>9</v>
      </c>
      <c r="T164" s="5">
        <v>2</v>
      </c>
      <c r="U164" s="5">
        <v>4</v>
      </c>
      <c r="V164" s="5">
        <v>4</v>
      </c>
    </row>
    <row r="165" spans="19:22" x14ac:dyDescent="0.3">
      <c r="S165" s="3">
        <v>9</v>
      </c>
      <c r="T165" s="3">
        <v>3</v>
      </c>
      <c r="U165" s="3">
        <v>6</v>
      </c>
      <c r="V165" s="3">
        <v>6</v>
      </c>
    </row>
    <row r="166" spans="19:22" x14ac:dyDescent="0.3">
      <c r="S166" s="5">
        <v>9</v>
      </c>
      <c r="T166" s="5">
        <v>4</v>
      </c>
      <c r="U166" s="5">
        <v>7</v>
      </c>
      <c r="V166" s="5">
        <v>7</v>
      </c>
    </row>
    <row r="167" spans="19:22" x14ac:dyDescent="0.3">
      <c r="S167" s="3">
        <v>9</v>
      </c>
      <c r="T167" s="3">
        <v>5</v>
      </c>
      <c r="U167" s="3">
        <v>1</v>
      </c>
      <c r="V167" s="3">
        <v>1</v>
      </c>
    </row>
    <row r="168" spans="19:22" x14ac:dyDescent="0.3">
      <c r="S168" s="5">
        <v>9</v>
      </c>
      <c r="T168" s="5">
        <v>6</v>
      </c>
      <c r="U168" s="5">
        <v>6</v>
      </c>
      <c r="V168" s="5">
        <v>6</v>
      </c>
    </row>
    <row r="169" spans="19:22" x14ac:dyDescent="0.3">
      <c r="S169" s="3">
        <v>9</v>
      </c>
      <c r="T169" s="3">
        <v>7</v>
      </c>
      <c r="U169" s="3">
        <v>6</v>
      </c>
      <c r="V169" s="3">
        <v>6</v>
      </c>
    </row>
    <row r="170" spans="19:22" x14ac:dyDescent="0.3">
      <c r="S170" s="5">
        <v>9</v>
      </c>
      <c r="T170" s="5">
        <v>8</v>
      </c>
      <c r="U170" s="5">
        <v>5</v>
      </c>
      <c r="V170" s="5">
        <v>5</v>
      </c>
    </row>
    <row r="171" spans="19:22" x14ac:dyDescent="0.3">
      <c r="S171" s="3">
        <v>9</v>
      </c>
      <c r="T171" s="3">
        <v>9</v>
      </c>
      <c r="U171" s="3">
        <v>1</v>
      </c>
      <c r="V171" s="3">
        <v>1</v>
      </c>
    </row>
    <row r="172" spans="19:22" x14ac:dyDescent="0.3">
      <c r="S172" s="5">
        <v>9</v>
      </c>
      <c r="T172" s="5">
        <v>10</v>
      </c>
      <c r="U172" s="5">
        <v>10</v>
      </c>
      <c r="V172" s="5">
        <v>10</v>
      </c>
    </row>
    <row r="173" spans="19:22" x14ac:dyDescent="0.3">
      <c r="S173" s="3">
        <v>9</v>
      </c>
      <c r="T173" s="3">
        <v>11</v>
      </c>
      <c r="U173" s="3">
        <v>7</v>
      </c>
      <c r="V173" s="3">
        <v>7</v>
      </c>
    </row>
    <row r="174" spans="19:22" x14ac:dyDescent="0.3">
      <c r="S174" s="5">
        <v>9</v>
      </c>
      <c r="T174" s="5">
        <v>12</v>
      </c>
      <c r="U174" s="5">
        <v>5</v>
      </c>
      <c r="V174" s="5">
        <v>5</v>
      </c>
    </row>
    <row r="175" spans="19:22" x14ac:dyDescent="0.3">
      <c r="S175" s="3">
        <v>9</v>
      </c>
      <c r="T175" s="3">
        <v>13</v>
      </c>
      <c r="U175" s="3">
        <v>10</v>
      </c>
      <c r="V175" s="3">
        <v>10</v>
      </c>
    </row>
    <row r="176" spans="19:22" x14ac:dyDescent="0.3">
      <c r="S176" s="5">
        <v>9</v>
      </c>
      <c r="T176" s="5">
        <v>14</v>
      </c>
      <c r="U176" s="5">
        <v>4</v>
      </c>
      <c r="V176" s="5">
        <v>4</v>
      </c>
    </row>
    <row r="177" spans="19:22" x14ac:dyDescent="0.3">
      <c r="S177" s="3">
        <v>9</v>
      </c>
      <c r="T177" s="3">
        <v>15</v>
      </c>
      <c r="U177" s="3">
        <v>3</v>
      </c>
      <c r="V177" s="3">
        <v>3</v>
      </c>
    </row>
    <row r="178" spans="19:22" x14ac:dyDescent="0.3">
      <c r="S178" s="5">
        <v>9</v>
      </c>
      <c r="T178" s="5">
        <v>16</v>
      </c>
      <c r="U178" s="5">
        <v>9</v>
      </c>
      <c r="V178" s="5">
        <v>9</v>
      </c>
    </row>
    <row r="179" spans="19:22" x14ac:dyDescent="0.3">
      <c r="S179" s="3">
        <v>9</v>
      </c>
      <c r="T179" s="3">
        <v>17</v>
      </c>
      <c r="U179" s="3">
        <v>6</v>
      </c>
      <c r="V179" s="3">
        <v>6</v>
      </c>
    </row>
    <row r="180" spans="19:22" x14ac:dyDescent="0.3">
      <c r="S180" s="5">
        <v>9</v>
      </c>
      <c r="T180" s="5">
        <v>18</v>
      </c>
      <c r="U180" s="5">
        <v>4</v>
      </c>
      <c r="V180" s="5">
        <v>4</v>
      </c>
    </row>
    <row r="181" spans="19:22" x14ac:dyDescent="0.3">
      <c r="S181" s="3">
        <v>9</v>
      </c>
      <c r="T181" s="3">
        <v>19</v>
      </c>
      <c r="U181" s="3">
        <v>1</v>
      </c>
      <c r="V181" s="3">
        <v>1</v>
      </c>
    </row>
    <row r="182" spans="19:22" x14ac:dyDescent="0.3">
      <c r="S182" s="5">
        <v>9</v>
      </c>
      <c r="T182" s="5">
        <v>20</v>
      </c>
      <c r="U182" s="5">
        <v>7</v>
      </c>
      <c r="V182" s="5">
        <v>7</v>
      </c>
    </row>
    <row r="183" spans="19:22" x14ac:dyDescent="0.3">
      <c r="S183" s="3">
        <v>10</v>
      </c>
      <c r="T183" s="3">
        <v>1</v>
      </c>
      <c r="U183" s="3">
        <v>5</v>
      </c>
      <c r="V183" s="3">
        <v>5</v>
      </c>
    </row>
    <row r="184" spans="19:22" x14ac:dyDescent="0.3">
      <c r="S184" s="5">
        <v>10</v>
      </c>
      <c r="T184" s="5">
        <v>2</v>
      </c>
      <c r="U184" s="5">
        <v>3</v>
      </c>
      <c r="V184" s="5">
        <v>3</v>
      </c>
    </row>
    <row r="185" spans="19:22" x14ac:dyDescent="0.3">
      <c r="S185" s="3">
        <v>10</v>
      </c>
      <c r="T185" s="3">
        <v>3</v>
      </c>
      <c r="U185" s="3">
        <v>1</v>
      </c>
      <c r="V185" s="3">
        <v>1</v>
      </c>
    </row>
    <row r="186" spans="19:22" x14ac:dyDescent="0.3">
      <c r="S186" s="5">
        <v>10</v>
      </c>
      <c r="T186" s="5">
        <v>4</v>
      </c>
      <c r="U186" s="5">
        <v>3</v>
      </c>
      <c r="V186" s="5">
        <v>3</v>
      </c>
    </row>
    <row r="187" spans="19:22" x14ac:dyDescent="0.3">
      <c r="S187" s="3">
        <v>10</v>
      </c>
      <c r="T187" s="3">
        <v>5</v>
      </c>
      <c r="U187" s="3">
        <v>6</v>
      </c>
      <c r="V187" s="3">
        <v>6</v>
      </c>
    </row>
    <row r="188" spans="19:22" x14ac:dyDescent="0.3">
      <c r="S188" s="5">
        <v>10</v>
      </c>
      <c r="T188" s="5">
        <v>6</v>
      </c>
      <c r="U188" s="5">
        <v>2</v>
      </c>
      <c r="V188" s="5">
        <v>2</v>
      </c>
    </row>
    <row r="189" spans="19:22" x14ac:dyDescent="0.3">
      <c r="S189" s="3">
        <v>10</v>
      </c>
      <c r="T189" s="3">
        <v>7</v>
      </c>
      <c r="U189" s="3">
        <v>1</v>
      </c>
      <c r="V189" s="3">
        <v>1</v>
      </c>
    </row>
    <row r="190" spans="19:22" x14ac:dyDescent="0.3">
      <c r="S190" s="5">
        <v>10</v>
      </c>
      <c r="T190" s="5">
        <v>8</v>
      </c>
      <c r="U190" s="5">
        <v>10</v>
      </c>
      <c r="V190" s="5">
        <v>10</v>
      </c>
    </row>
    <row r="191" spans="19:22" x14ac:dyDescent="0.3">
      <c r="S191" s="3">
        <v>10</v>
      </c>
      <c r="T191" s="3">
        <v>9</v>
      </c>
      <c r="U191" s="3">
        <v>10</v>
      </c>
      <c r="V191" s="3">
        <v>10</v>
      </c>
    </row>
    <row r="192" spans="19:22" x14ac:dyDescent="0.3">
      <c r="S192" s="5">
        <v>10</v>
      </c>
      <c r="T192" s="5">
        <v>10</v>
      </c>
      <c r="U192" s="5">
        <v>1</v>
      </c>
      <c r="V192" s="5">
        <v>1</v>
      </c>
    </row>
    <row r="193" spans="19:22" x14ac:dyDescent="0.3">
      <c r="S193" s="3">
        <v>10</v>
      </c>
      <c r="T193" s="3">
        <v>11</v>
      </c>
      <c r="U193" s="3">
        <v>2</v>
      </c>
      <c r="V193" s="3">
        <v>2</v>
      </c>
    </row>
    <row r="194" spans="19:22" x14ac:dyDescent="0.3">
      <c r="S194" s="5">
        <v>10</v>
      </c>
      <c r="T194" s="5">
        <v>12</v>
      </c>
      <c r="U194" s="5">
        <v>9</v>
      </c>
      <c r="V194" s="5">
        <v>9</v>
      </c>
    </row>
    <row r="195" spans="19:22" x14ac:dyDescent="0.3">
      <c r="S195" s="3">
        <v>10</v>
      </c>
      <c r="T195" s="3">
        <v>13</v>
      </c>
      <c r="U195" s="3">
        <v>3</v>
      </c>
      <c r="V195" s="3">
        <v>3</v>
      </c>
    </row>
    <row r="196" spans="19:22" x14ac:dyDescent="0.3">
      <c r="S196" s="5">
        <v>10</v>
      </c>
      <c r="T196" s="5">
        <v>14</v>
      </c>
      <c r="U196" s="5">
        <v>10</v>
      </c>
      <c r="V196" s="5">
        <v>10</v>
      </c>
    </row>
    <row r="197" spans="19:22" x14ac:dyDescent="0.3">
      <c r="S197" s="3">
        <v>10</v>
      </c>
      <c r="T197" s="3">
        <v>15</v>
      </c>
      <c r="U197" s="3">
        <v>2</v>
      </c>
      <c r="V197" s="3">
        <v>2</v>
      </c>
    </row>
    <row r="198" spans="19:22" x14ac:dyDescent="0.3">
      <c r="S198" s="5">
        <v>10</v>
      </c>
      <c r="T198" s="5">
        <v>16</v>
      </c>
      <c r="U198" s="5">
        <v>1</v>
      </c>
      <c r="V198" s="5">
        <v>1</v>
      </c>
    </row>
    <row r="199" spans="19:22" x14ac:dyDescent="0.3">
      <c r="S199" s="3">
        <v>10</v>
      </c>
      <c r="T199" s="3">
        <v>17</v>
      </c>
      <c r="U199" s="3">
        <v>1</v>
      </c>
      <c r="V199" s="3">
        <v>1</v>
      </c>
    </row>
    <row r="200" spans="19:22" x14ac:dyDescent="0.3">
      <c r="S200" s="5">
        <v>10</v>
      </c>
      <c r="T200" s="5">
        <v>18</v>
      </c>
      <c r="U200" s="5">
        <v>8</v>
      </c>
      <c r="V200" s="5">
        <v>8</v>
      </c>
    </row>
    <row r="201" spans="19:22" x14ac:dyDescent="0.3">
      <c r="S201" s="3">
        <v>10</v>
      </c>
      <c r="T201" s="3">
        <v>19</v>
      </c>
      <c r="U201" s="3">
        <v>6</v>
      </c>
      <c r="V201" s="3">
        <v>6</v>
      </c>
    </row>
    <row r="202" spans="19:22" x14ac:dyDescent="0.3">
      <c r="S202" s="5">
        <v>10</v>
      </c>
      <c r="T202" s="5">
        <v>20</v>
      </c>
      <c r="U202" s="5">
        <v>1</v>
      </c>
      <c r="V202" s="5">
        <v>1</v>
      </c>
    </row>
    <row r="203" spans="19:22" x14ac:dyDescent="0.3">
      <c r="S203" s="3">
        <v>11</v>
      </c>
      <c r="T203" s="3">
        <v>1</v>
      </c>
      <c r="U203" s="3">
        <v>4</v>
      </c>
      <c r="V203" s="3">
        <v>4</v>
      </c>
    </row>
    <row r="204" spans="19:22" x14ac:dyDescent="0.3">
      <c r="S204" s="5">
        <v>11</v>
      </c>
      <c r="T204" s="5">
        <v>2</v>
      </c>
      <c r="U204" s="5">
        <v>7</v>
      </c>
      <c r="V204" s="5">
        <v>7</v>
      </c>
    </row>
    <row r="205" spans="19:22" x14ac:dyDescent="0.3">
      <c r="S205" s="3">
        <v>11</v>
      </c>
      <c r="T205" s="3">
        <v>3</v>
      </c>
      <c r="U205" s="3">
        <v>10</v>
      </c>
      <c r="V205" s="3">
        <v>10</v>
      </c>
    </row>
    <row r="206" spans="19:22" x14ac:dyDescent="0.3">
      <c r="S206" s="5">
        <v>11</v>
      </c>
      <c r="T206" s="5">
        <v>4</v>
      </c>
      <c r="U206" s="5">
        <v>7</v>
      </c>
      <c r="V206" s="5">
        <v>7</v>
      </c>
    </row>
    <row r="207" spans="19:22" x14ac:dyDescent="0.3">
      <c r="S207" s="3">
        <v>11</v>
      </c>
      <c r="T207" s="3">
        <v>5</v>
      </c>
      <c r="U207" s="3">
        <v>9</v>
      </c>
      <c r="V207" s="3">
        <v>9</v>
      </c>
    </row>
    <row r="208" spans="19:22" x14ac:dyDescent="0.3">
      <c r="S208" s="5">
        <v>11</v>
      </c>
      <c r="T208" s="5">
        <v>6</v>
      </c>
      <c r="U208" s="5">
        <v>7</v>
      </c>
      <c r="V208" s="5">
        <v>7</v>
      </c>
    </row>
    <row r="209" spans="19:22" x14ac:dyDescent="0.3">
      <c r="S209" s="3">
        <v>11</v>
      </c>
      <c r="T209" s="3">
        <v>7</v>
      </c>
      <c r="U209" s="3">
        <v>10</v>
      </c>
      <c r="V209" s="3">
        <v>10</v>
      </c>
    </row>
    <row r="210" spans="19:22" x14ac:dyDescent="0.3">
      <c r="S210" s="5">
        <v>11</v>
      </c>
      <c r="T210" s="5">
        <v>8</v>
      </c>
      <c r="U210" s="5">
        <v>5</v>
      </c>
      <c r="V210" s="5">
        <v>5</v>
      </c>
    </row>
    <row r="211" spans="19:22" x14ac:dyDescent="0.3">
      <c r="S211" s="3">
        <v>11</v>
      </c>
      <c r="T211" s="3">
        <v>9</v>
      </c>
      <c r="U211" s="3">
        <v>10</v>
      </c>
      <c r="V211" s="3">
        <v>10</v>
      </c>
    </row>
    <row r="212" spans="19:22" x14ac:dyDescent="0.3">
      <c r="S212" s="5">
        <v>11</v>
      </c>
      <c r="T212" s="5">
        <v>10</v>
      </c>
      <c r="U212" s="5">
        <v>3</v>
      </c>
      <c r="V212" s="5">
        <v>3</v>
      </c>
    </row>
    <row r="213" spans="19:22" x14ac:dyDescent="0.3">
      <c r="S213" s="3">
        <v>11</v>
      </c>
      <c r="T213" s="3">
        <v>11</v>
      </c>
      <c r="U213" s="3">
        <v>1</v>
      </c>
      <c r="V213" s="3">
        <v>1</v>
      </c>
    </row>
    <row r="214" spans="19:22" x14ac:dyDescent="0.3">
      <c r="S214" s="5">
        <v>11</v>
      </c>
      <c r="T214" s="5">
        <v>12</v>
      </c>
      <c r="U214" s="5">
        <v>8</v>
      </c>
      <c r="V214" s="5">
        <v>8</v>
      </c>
    </row>
    <row r="215" spans="19:22" x14ac:dyDescent="0.3">
      <c r="S215" s="3">
        <v>11</v>
      </c>
      <c r="T215" s="3">
        <v>13</v>
      </c>
      <c r="U215" s="3">
        <v>8</v>
      </c>
      <c r="V215" s="3">
        <v>8</v>
      </c>
    </row>
    <row r="216" spans="19:22" x14ac:dyDescent="0.3">
      <c r="S216" s="5">
        <v>11</v>
      </c>
      <c r="T216" s="5">
        <v>14</v>
      </c>
      <c r="U216" s="5">
        <v>4</v>
      </c>
      <c r="V216" s="5">
        <v>4</v>
      </c>
    </row>
    <row r="217" spans="19:22" x14ac:dyDescent="0.3">
      <c r="S217" s="3">
        <v>11</v>
      </c>
      <c r="T217" s="3">
        <v>15</v>
      </c>
      <c r="U217" s="3">
        <v>3</v>
      </c>
      <c r="V217" s="3">
        <v>3</v>
      </c>
    </row>
    <row r="218" spans="19:22" x14ac:dyDescent="0.3">
      <c r="S218" s="5">
        <v>11</v>
      </c>
      <c r="T218" s="5">
        <v>16</v>
      </c>
      <c r="U218" s="5">
        <v>3</v>
      </c>
      <c r="V218" s="5">
        <v>3</v>
      </c>
    </row>
    <row r="219" spans="19:22" x14ac:dyDescent="0.3">
      <c r="S219" s="3">
        <v>11</v>
      </c>
      <c r="T219" s="3">
        <v>17</v>
      </c>
      <c r="U219" s="3">
        <v>2</v>
      </c>
      <c r="V219" s="3">
        <v>2</v>
      </c>
    </row>
    <row r="220" spans="19:22" x14ac:dyDescent="0.3">
      <c r="S220" s="5">
        <v>11</v>
      </c>
      <c r="T220" s="5">
        <v>18</v>
      </c>
      <c r="U220" s="5">
        <v>6</v>
      </c>
      <c r="V220" s="5">
        <v>6</v>
      </c>
    </row>
    <row r="221" spans="19:22" x14ac:dyDescent="0.3">
      <c r="S221" s="3">
        <v>11</v>
      </c>
      <c r="T221" s="3">
        <v>19</v>
      </c>
      <c r="U221" s="3">
        <v>8</v>
      </c>
      <c r="V221" s="3">
        <v>8</v>
      </c>
    </row>
    <row r="222" spans="19:22" x14ac:dyDescent="0.3">
      <c r="S222" s="5">
        <v>11</v>
      </c>
      <c r="T222" s="5">
        <v>20</v>
      </c>
      <c r="U222" s="5">
        <v>3</v>
      </c>
      <c r="V222" s="5">
        <v>3</v>
      </c>
    </row>
    <row r="223" spans="19:22" x14ac:dyDescent="0.3">
      <c r="S223" s="3">
        <v>12</v>
      </c>
      <c r="T223" s="3">
        <v>1</v>
      </c>
      <c r="U223" s="3">
        <v>7</v>
      </c>
      <c r="V223" s="3">
        <v>7</v>
      </c>
    </row>
    <row r="224" spans="19:22" x14ac:dyDescent="0.3">
      <c r="S224" s="5">
        <v>12</v>
      </c>
      <c r="T224" s="5">
        <v>2</v>
      </c>
      <c r="U224" s="5">
        <v>4</v>
      </c>
      <c r="V224" s="5">
        <v>4</v>
      </c>
    </row>
    <row r="225" spans="19:22" x14ac:dyDescent="0.3">
      <c r="S225" s="3">
        <v>12</v>
      </c>
      <c r="T225" s="3">
        <v>3</v>
      </c>
      <c r="U225" s="3">
        <v>1</v>
      </c>
      <c r="V225" s="3">
        <v>1</v>
      </c>
    </row>
    <row r="226" spans="19:22" x14ac:dyDescent="0.3">
      <c r="S226" s="5">
        <v>12</v>
      </c>
      <c r="T226" s="5">
        <v>4</v>
      </c>
      <c r="U226" s="5">
        <v>10</v>
      </c>
      <c r="V226" s="5">
        <v>10</v>
      </c>
    </row>
    <row r="227" spans="19:22" x14ac:dyDescent="0.3">
      <c r="S227" s="3">
        <v>12</v>
      </c>
      <c r="T227" s="3">
        <v>5</v>
      </c>
      <c r="U227" s="3">
        <v>6</v>
      </c>
      <c r="V227" s="3">
        <v>6</v>
      </c>
    </row>
    <row r="228" spans="19:22" x14ac:dyDescent="0.3">
      <c r="S228" s="5">
        <v>12</v>
      </c>
      <c r="T228" s="5">
        <v>6</v>
      </c>
      <c r="U228" s="5">
        <v>7</v>
      </c>
      <c r="V228" s="5">
        <v>7</v>
      </c>
    </row>
    <row r="229" spans="19:22" x14ac:dyDescent="0.3">
      <c r="S229" s="3">
        <v>12</v>
      </c>
      <c r="T229" s="3">
        <v>7</v>
      </c>
      <c r="U229" s="3">
        <v>2</v>
      </c>
      <c r="V229" s="3">
        <v>2</v>
      </c>
    </row>
    <row r="230" spans="19:22" x14ac:dyDescent="0.3">
      <c r="S230" s="5">
        <v>12</v>
      </c>
      <c r="T230" s="5">
        <v>8</v>
      </c>
      <c r="U230" s="5">
        <v>6</v>
      </c>
      <c r="V230" s="5">
        <v>6</v>
      </c>
    </row>
    <row r="231" spans="19:22" x14ac:dyDescent="0.3">
      <c r="S231" s="3">
        <v>12</v>
      </c>
      <c r="T231" s="3">
        <v>9</v>
      </c>
      <c r="U231" s="3">
        <v>9</v>
      </c>
      <c r="V231" s="3">
        <v>9</v>
      </c>
    </row>
    <row r="232" spans="19:22" x14ac:dyDescent="0.3">
      <c r="S232" s="5">
        <v>12</v>
      </c>
      <c r="T232" s="5">
        <v>10</v>
      </c>
      <c r="U232" s="5">
        <v>8</v>
      </c>
      <c r="V232" s="5">
        <v>8</v>
      </c>
    </row>
    <row r="233" spans="19:22" x14ac:dyDescent="0.3">
      <c r="S233" s="3">
        <v>12</v>
      </c>
      <c r="T233" s="3">
        <v>11</v>
      </c>
      <c r="U233" s="3">
        <v>3</v>
      </c>
      <c r="V233" s="3">
        <v>3</v>
      </c>
    </row>
    <row r="234" spans="19:22" x14ac:dyDescent="0.3">
      <c r="S234" s="5">
        <v>12</v>
      </c>
      <c r="T234" s="5">
        <v>12</v>
      </c>
      <c r="U234" s="5">
        <v>1</v>
      </c>
      <c r="V234" s="5">
        <v>1</v>
      </c>
    </row>
    <row r="235" spans="19:22" x14ac:dyDescent="0.3">
      <c r="S235" s="3">
        <v>12</v>
      </c>
      <c r="T235" s="3">
        <v>13</v>
      </c>
      <c r="U235" s="3">
        <v>1</v>
      </c>
      <c r="V235" s="3">
        <v>1</v>
      </c>
    </row>
    <row r="236" spans="19:22" x14ac:dyDescent="0.3">
      <c r="S236" s="5">
        <v>12</v>
      </c>
      <c r="T236" s="5">
        <v>14</v>
      </c>
      <c r="U236" s="5">
        <v>6</v>
      </c>
      <c r="V236" s="5">
        <v>6</v>
      </c>
    </row>
    <row r="237" spans="19:22" x14ac:dyDescent="0.3">
      <c r="S237" s="3">
        <v>12</v>
      </c>
      <c r="T237" s="3">
        <v>15</v>
      </c>
      <c r="U237" s="3">
        <v>2</v>
      </c>
      <c r="V237" s="3">
        <v>2</v>
      </c>
    </row>
    <row r="238" spans="19:22" x14ac:dyDescent="0.3">
      <c r="S238" s="5">
        <v>12</v>
      </c>
      <c r="T238" s="5">
        <v>16</v>
      </c>
      <c r="U238" s="5">
        <v>9</v>
      </c>
      <c r="V238" s="5">
        <v>9</v>
      </c>
    </row>
    <row r="239" spans="19:22" x14ac:dyDescent="0.3">
      <c r="S239" s="3">
        <v>12</v>
      </c>
      <c r="T239" s="3">
        <v>17</v>
      </c>
      <c r="U239" s="3">
        <v>5</v>
      </c>
      <c r="V239" s="3">
        <v>5</v>
      </c>
    </row>
    <row r="240" spans="19:22" x14ac:dyDescent="0.3">
      <c r="S240" s="5">
        <v>12</v>
      </c>
      <c r="T240" s="5">
        <v>18</v>
      </c>
      <c r="U240" s="5">
        <v>6</v>
      </c>
      <c r="V240" s="5">
        <v>6</v>
      </c>
    </row>
    <row r="241" spans="19:22" x14ac:dyDescent="0.3">
      <c r="S241" s="3">
        <v>12</v>
      </c>
      <c r="T241" s="3">
        <v>19</v>
      </c>
      <c r="U241" s="3">
        <v>2</v>
      </c>
      <c r="V241" s="3">
        <v>2</v>
      </c>
    </row>
    <row r="242" spans="19:22" x14ac:dyDescent="0.3">
      <c r="S242" s="5">
        <v>12</v>
      </c>
      <c r="T242" s="5">
        <v>20</v>
      </c>
      <c r="U242" s="5">
        <v>5</v>
      </c>
      <c r="V242" s="5">
        <v>5</v>
      </c>
    </row>
    <row r="243" spans="19:22" x14ac:dyDescent="0.3">
      <c r="S243" s="3">
        <v>13</v>
      </c>
      <c r="T243" s="3">
        <v>1</v>
      </c>
      <c r="U243" s="3">
        <v>10</v>
      </c>
      <c r="V243" s="3">
        <v>10</v>
      </c>
    </row>
    <row r="244" spans="19:22" x14ac:dyDescent="0.3">
      <c r="S244" s="5">
        <v>13</v>
      </c>
      <c r="T244" s="5">
        <v>2</v>
      </c>
      <c r="U244" s="5">
        <v>10</v>
      </c>
      <c r="V244" s="5">
        <v>10</v>
      </c>
    </row>
    <row r="245" spans="19:22" x14ac:dyDescent="0.3">
      <c r="S245" s="3">
        <v>13</v>
      </c>
      <c r="T245" s="3">
        <v>3</v>
      </c>
      <c r="U245" s="3">
        <v>7</v>
      </c>
      <c r="V245" s="3">
        <v>7</v>
      </c>
    </row>
    <row r="246" spans="19:22" x14ac:dyDescent="0.3">
      <c r="S246" s="5">
        <v>13</v>
      </c>
      <c r="T246" s="5">
        <v>4</v>
      </c>
      <c r="U246" s="5">
        <v>10</v>
      </c>
      <c r="V246" s="5">
        <v>10</v>
      </c>
    </row>
    <row r="247" spans="19:22" x14ac:dyDescent="0.3">
      <c r="S247" s="3">
        <v>13</v>
      </c>
      <c r="T247" s="3">
        <v>5</v>
      </c>
      <c r="U247" s="3">
        <v>6</v>
      </c>
      <c r="V247" s="3">
        <v>6</v>
      </c>
    </row>
    <row r="248" spans="19:22" x14ac:dyDescent="0.3">
      <c r="S248" s="5">
        <v>13</v>
      </c>
      <c r="T248" s="5">
        <v>6</v>
      </c>
      <c r="U248" s="5">
        <v>7</v>
      </c>
      <c r="V248" s="5">
        <v>7</v>
      </c>
    </row>
    <row r="249" spans="19:22" x14ac:dyDescent="0.3">
      <c r="S249" s="3">
        <v>13</v>
      </c>
      <c r="T249" s="3">
        <v>7</v>
      </c>
      <c r="U249" s="3">
        <v>1</v>
      </c>
      <c r="V249" s="3">
        <v>1</v>
      </c>
    </row>
    <row r="250" spans="19:22" x14ac:dyDescent="0.3">
      <c r="S250" s="5">
        <v>13</v>
      </c>
      <c r="T250" s="5">
        <v>8</v>
      </c>
      <c r="U250" s="5">
        <v>3</v>
      </c>
      <c r="V250" s="5">
        <v>3</v>
      </c>
    </row>
    <row r="251" spans="19:22" x14ac:dyDescent="0.3">
      <c r="S251" s="3">
        <v>13</v>
      </c>
      <c r="T251" s="3">
        <v>9</v>
      </c>
      <c r="U251" s="3">
        <v>10</v>
      </c>
      <c r="V251" s="3">
        <v>10</v>
      </c>
    </row>
    <row r="252" spans="19:22" x14ac:dyDescent="0.3">
      <c r="S252" s="5">
        <v>13</v>
      </c>
      <c r="T252" s="5">
        <v>10</v>
      </c>
      <c r="U252" s="5">
        <v>7</v>
      </c>
      <c r="V252" s="5">
        <v>7</v>
      </c>
    </row>
    <row r="253" spans="19:22" x14ac:dyDescent="0.3">
      <c r="S253" s="3">
        <v>13</v>
      </c>
      <c r="T253" s="3">
        <v>11</v>
      </c>
      <c r="U253" s="3">
        <v>3</v>
      </c>
      <c r="V253" s="3">
        <v>3</v>
      </c>
    </row>
    <row r="254" spans="19:22" x14ac:dyDescent="0.3">
      <c r="S254" s="5">
        <v>13</v>
      </c>
      <c r="T254" s="5">
        <v>12</v>
      </c>
      <c r="U254" s="5">
        <v>1</v>
      </c>
      <c r="V254" s="5">
        <v>1</v>
      </c>
    </row>
    <row r="255" spans="19:22" x14ac:dyDescent="0.3">
      <c r="S255" s="3">
        <v>13</v>
      </c>
      <c r="T255" s="3">
        <v>13</v>
      </c>
      <c r="U255" s="3">
        <v>1</v>
      </c>
      <c r="V255" s="3">
        <v>1</v>
      </c>
    </row>
    <row r="256" spans="19:22" x14ac:dyDescent="0.3">
      <c r="S256" s="5">
        <v>13</v>
      </c>
      <c r="T256" s="5">
        <v>14</v>
      </c>
      <c r="U256" s="5">
        <v>10</v>
      </c>
      <c r="V256" s="5">
        <v>10</v>
      </c>
    </row>
    <row r="257" spans="19:22" x14ac:dyDescent="0.3">
      <c r="S257" s="3">
        <v>13</v>
      </c>
      <c r="T257" s="3">
        <v>15</v>
      </c>
      <c r="U257" s="3">
        <v>10</v>
      </c>
      <c r="V257" s="3">
        <v>10</v>
      </c>
    </row>
    <row r="258" spans="19:22" x14ac:dyDescent="0.3">
      <c r="S258" s="5">
        <v>13</v>
      </c>
      <c r="T258" s="5">
        <v>16</v>
      </c>
      <c r="U258" s="5">
        <v>10</v>
      </c>
      <c r="V258" s="5">
        <v>10</v>
      </c>
    </row>
    <row r="259" spans="19:22" x14ac:dyDescent="0.3">
      <c r="S259" s="3">
        <v>13</v>
      </c>
      <c r="T259" s="3">
        <v>17</v>
      </c>
      <c r="U259" s="3">
        <v>8</v>
      </c>
      <c r="V259" s="3">
        <v>8</v>
      </c>
    </row>
    <row r="260" spans="19:22" x14ac:dyDescent="0.3">
      <c r="S260" s="5">
        <v>13</v>
      </c>
      <c r="T260" s="5">
        <v>18</v>
      </c>
      <c r="U260" s="5">
        <v>7</v>
      </c>
      <c r="V260" s="5">
        <v>7</v>
      </c>
    </row>
    <row r="261" spans="19:22" x14ac:dyDescent="0.3">
      <c r="S261" s="3">
        <v>13</v>
      </c>
      <c r="T261" s="3">
        <v>19</v>
      </c>
      <c r="U261" s="3">
        <v>7</v>
      </c>
      <c r="V261" s="3">
        <v>7</v>
      </c>
    </row>
    <row r="262" spans="19:22" x14ac:dyDescent="0.3">
      <c r="S262" s="5">
        <v>13</v>
      </c>
      <c r="T262" s="5">
        <v>20</v>
      </c>
      <c r="U262" s="5">
        <v>2</v>
      </c>
      <c r="V262" s="5">
        <v>2</v>
      </c>
    </row>
    <row r="263" spans="19:22" x14ac:dyDescent="0.3">
      <c r="S263" s="3">
        <v>14</v>
      </c>
      <c r="T263" s="3">
        <v>1</v>
      </c>
      <c r="U263" s="3">
        <v>7</v>
      </c>
      <c r="V263" s="3">
        <v>7</v>
      </c>
    </row>
    <row r="264" spans="19:22" x14ac:dyDescent="0.3">
      <c r="S264" s="5">
        <v>14</v>
      </c>
      <c r="T264" s="5">
        <v>2</v>
      </c>
      <c r="U264" s="5">
        <v>3</v>
      </c>
      <c r="V264" s="5">
        <v>3</v>
      </c>
    </row>
    <row r="265" spans="19:22" x14ac:dyDescent="0.3">
      <c r="S265" s="3">
        <v>14</v>
      </c>
      <c r="T265" s="3">
        <v>3</v>
      </c>
      <c r="U265" s="3">
        <v>7</v>
      </c>
      <c r="V265" s="3">
        <v>7</v>
      </c>
    </row>
    <row r="266" spans="19:22" x14ac:dyDescent="0.3">
      <c r="S266" s="5">
        <v>14</v>
      </c>
      <c r="T266" s="5">
        <v>4</v>
      </c>
      <c r="U266" s="5">
        <v>5</v>
      </c>
      <c r="V266" s="5">
        <v>5</v>
      </c>
    </row>
    <row r="267" spans="19:22" x14ac:dyDescent="0.3">
      <c r="S267" s="3">
        <v>14</v>
      </c>
      <c r="T267" s="3">
        <v>5</v>
      </c>
      <c r="U267" s="3">
        <v>8</v>
      </c>
      <c r="V267" s="3">
        <v>8</v>
      </c>
    </row>
    <row r="268" spans="19:22" x14ac:dyDescent="0.3">
      <c r="S268" s="5">
        <v>14</v>
      </c>
      <c r="T268" s="5">
        <v>6</v>
      </c>
      <c r="U268" s="5">
        <v>9</v>
      </c>
      <c r="V268" s="5">
        <v>9</v>
      </c>
    </row>
    <row r="269" spans="19:22" x14ac:dyDescent="0.3">
      <c r="S269" s="3">
        <v>14</v>
      </c>
      <c r="T269" s="3">
        <v>7</v>
      </c>
      <c r="U269" s="3">
        <v>10</v>
      </c>
      <c r="V269" s="3">
        <v>10</v>
      </c>
    </row>
    <row r="270" spans="19:22" x14ac:dyDescent="0.3">
      <c r="S270" s="5">
        <v>14</v>
      </c>
      <c r="T270" s="5">
        <v>8</v>
      </c>
      <c r="U270" s="5">
        <v>5</v>
      </c>
      <c r="V270" s="5">
        <v>5</v>
      </c>
    </row>
    <row r="271" spans="19:22" x14ac:dyDescent="0.3">
      <c r="S271" s="3">
        <v>14</v>
      </c>
      <c r="T271" s="3">
        <v>9</v>
      </c>
      <c r="U271" s="3">
        <v>6</v>
      </c>
      <c r="V271" s="3">
        <v>6</v>
      </c>
    </row>
    <row r="272" spans="19:22" x14ac:dyDescent="0.3">
      <c r="S272" s="5">
        <v>14</v>
      </c>
      <c r="T272" s="5">
        <v>10</v>
      </c>
      <c r="U272" s="5">
        <v>1</v>
      </c>
      <c r="V272" s="5">
        <v>1</v>
      </c>
    </row>
    <row r="273" spans="19:22" x14ac:dyDescent="0.3">
      <c r="S273" s="3">
        <v>14</v>
      </c>
      <c r="T273" s="3">
        <v>11</v>
      </c>
      <c r="U273" s="3">
        <v>1</v>
      </c>
      <c r="V273" s="3">
        <v>1</v>
      </c>
    </row>
    <row r="274" spans="19:22" x14ac:dyDescent="0.3">
      <c r="S274" s="5">
        <v>14</v>
      </c>
      <c r="T274" s="5">
        <v>12</v>
      </c>
      <c r="U274" s="5">
        <v>3</v>
      </c>
      <c r="V274" s="5">
        <v>3</v>
      </c>
    </row>
    <row r="275" spans="19:22" x14ac:dyDescent="0.3">
      <c r="S275" s="3">
        <v>14</v>
      </c>
      <c r="T275" s="3">
        <v>13</v>
      </c>
      <c r="U275" s="3">
        <v>3</v>
      </c>
      <c r="V275" s="3">
        <v>3</v>
      </c>
    </row>
    <row r="276" spans="19:22" x14ac:dyDescent="0.3">
      <c r="S276" s="5">
        <v>14</v>
      </c>
      <c r="T276" s="5">
        <v>14</v>
      </c>
      <c r="U276" s="5">
        <v>1</v>
      </c>
      <c r="V276" s="5">
        <v>1</v>
      </c>
    </row>
    <row r="277" spans="19:22" x14ac:dyDescent="0.3">
      <c r="S277" s="3">
        <v>14</v>
      </c>
      <c r="T277" s="3">
        <v>15</v>
      </c>
      <c r="U277" s="3">
        <v>9</v>
      </c>
      <c r="V277" s="3">
        <v>9</v>
      </c>
    </row>
    <row r="278" spans="19:22" x14ac:dyDescent="0.3">
      <c r="S278" s="5">
        <v>14</v>
      </c>
      <c r="T278" s="5">
        <v>16</v>
      </c>
      <c r="U278" s="5">
        <v>3</v>
      </c>
      <c r="V278" s="5">
        <v>3</v>
      </c>
    </row>
    <row r="279" spans="19:22" x14ac:dyDescent="0.3">
      <c r="S279" s="3">
        <v>14</v>
      </c>
      <c r="T279" s="3">
        <v>17</v>
      </c>
      <c r="U279" s="3">
        <v>10</v>
      </c>
      <c r="V279" s="3">
        <v>10</v>
      </c>
    </row>
    <row r="280" spans="19:22" x14ac:dyDescent="0.3">
      <c r="S280" s="5">
        <v>14</v>
      </c>
      <c r="T280" s="5">
        <v>18</v>
      </c>
      <c r="U280" s="5">
        <v>5</v>
      </c>
      <c r="V280" s="5">
        <v>5</v>
      </c>
    </row>
    <row r="281" spans="19:22" x14ac:dyDescent="0.3">
      <c r="S281" s="3">
        <v>14</v>
      </c>
      <c r="T281" s="3">
        <v>19</v>
      </c>
      <c r="U281" s="3">
        <v>4</v>
      </c>
      <c r="V281" s="3">
        <v>4</v>
      </c>
    </row>
    <row r="282" spans="19:22" x14ac:dyDescent="0.3">
      <c r="S282" s="5">
        <v>14</v>
      </c>
      <c r="T282" s="5">
        <v>20</v>
      </c>
      <c r="U282" s="5">
        <v>3</v>
      </c>
      <c r="V282" s="5">
        <v>3</v>
      </c>
    </row>
    <row r="283" spans="19:22" x14ac:dyDescent="0.3">
      <c r="S283" s="3">
        <v>15</v>
      </c>
      <c r="T283" s="3">
        <v>1</v>
      </c>
      <c r="U283" s="3">
        <v>9</v>
      </c>
      <c r="V283" s="3">
        <v>9</v>
      </c>
    </row>
    <row r="284" spans="19:22" x14ac:dyDescent="0.3">
      <c r="S284" s="5">
        <v>15</v>
      </c>
      <c r="T284" s="5">
        <v>2</v>
      </c>
      <c r="U284" s="5">
        <v>9</v>
      </c>
      <c r="V284" s="5">
        <v>9</v>
      </c>
    </row>
    <row r="285" spans="19:22" x14ac:dyDescent="0.3">
      <c r="S285" s="3">
        <v>15</v>
      </c>
      <c r="T285" s="3">
        <v>3</v>
      </c>
      <c r="U285" s="3">
        <v>10</v>
      </c>
      <c r="V285" s="3">
        <v>10</v>
      </c>
    </row>
    <row r="286" spans="19:22" x14ac:dyDescent="0.3">
      <c r="S286" s="5">
        <v>15</v>
      </c>
      <c r="T286" s="5">
        <v>4</v>
      </c>
      <c r="U286" s="5">
        <v>6</v>
      </c>
      <c r="V286" s="5">
        <v>6</v>
      </c>
    </row>
    <row r="287" spans="19:22" x14ac:dyDescent="0.3">
      <c r="S287" s="3">
        <v>15</v>
      </c>
      <c r="T287" s="3">
        <v>5</v>
      </c>
      <c r="U287" s="3">
        <v>8</v>
      </c>
      <c r="V287" s="3">
        <v>8</v>
      </c>
    </row>
    <row r="288" spans="19:22" x14ac:dyDescent="0.3">
      <c r="S288" s="5">
        <v>15</v>
      </c>
      <c r="T288" s="5">
        <v>6</v>
      </c>
      <c r="U288" s="5">
        <v>8</v>
      </c>
      <c r="V288" s="5">
        <v>8</v>
      </c>
    </row>
    <row r="289" spans="19:22" x14ac:dyDescent="0.3">
      <c r="S289" s="3">
        <v>15</v>
      </c>
      <c r="T289" s="3">
        <v>7</v>
      </c>
      <c r="U289" s="3">
        <v>6</v>
      </c>
      <c r="V289" s="3">
        <v>6</v>
      </c>
    </row>
    <row r="290" spans="19:22" x14ac:dyDescent="0.3">
      <c r="S290" s="5">
        <v>15</v>
      </c>
      <c r="T290" s="5">
        <v>8</v>
      </c>
      <c r="U290" s="5">
        <v>6</v>
      </c>
      <c r="V290" s="5">
        <v>6</v>
      </c>
    </row>
    <row r="291" spans="19:22" x14ac:dyDescent="0.3">
      <c r="S291" s="3">
        <v>15</v>
      </c>
      <c r="T291" s="3">
        <v>9</v>
      </c>
      <c r="U291" s="3">
        <v>9</v>
      </c>
      <c r="V291" s="3">
        <v>9</v>
      </c>
    </row>
    <row r="292" spans="19:22" x14ac:dyDescent="0.3">
      <c r="S292" s="5">
        <v>15</v>
      </c>
      <c r="T292" s="5">
        <v>10</v>
      </c>
      <c r="U292" s="5">
        <v>9</v>
      </c>
      <c r="V292" s="5">
        <v>9</v>
      </c>
    </row>
    <row r="293" spans="19:22" x14ac:dyDescent="0.3">
      <c r="S293" s="3">
        <v>15</v>
      </c>
      <c r="T293" s="3">
        <v>11</v>
      </c>
      <c r="U293" s="3">
        <v>4</v>
      </c>
      <c r="V293" s="3">
        <v>4</v>
      </c>
    </row>
    <row r="294" spans="19:22" x14ac:dyDescent="0.3">
      <c r="S294" s="5">
        <v>15</v>
      </c>
      <c r="T294" s="5">
        <v>12</v>
      </c>
      <c r="U294" s="5">
        <v>8</v>
      </c>
      <c r="V294" s="5">
        <v>8</v>
      </c>
    </row>
    <row r="295" spans="19:22" x14ac:dyDescent="0.3">
      <c r="S295" s="3">
        <v>15</v>
      </c>
      <c r="T295" s="3">
        <v>13</v>
      </c>
      <c r="U295" s="3">
        <v>2</v>
      </c>
      <c r="V295" s="3">
        <v>2</v>
      </c>
    </row>
    <row r="296" spans="19:22" x14ac:dyDescent="0.3">
      <c r="S296" s="5">
        <v>15</v>
      </c>
      <c r="T296" s="5">
        <v>14</v>
      </c>
      <c r="U296" s="5">
        <v>6</v>
      </c>
      <c r="V296" s="5">
        <v>6</v>
      </c>
    </row>
    <row r="297" spans="19:22" x14ac:dyDescent="0.3">
      <c r="S297" s="3">
        <v>15</v>
      </c>
      <c r="T297" s="3">
        <v>15</v>
      </c>
      <c r="U297" s="3">
        <v>1</v>
      </c>
      <c r="V297" s="3">
        <v>1</v>
      </c>
    </row>
    <row r="298" spans="19:22" x14ac:dyDescent="0.3">
      <c r="S298" s="5">
        <v>15</v>
      </c>
      <c r="T298" s="5">
        <v>16</v>
      </c>
      <c r="U298" s="5">
        <v>1</v>
      </c>
      <c r="V298" s="5">
        <v>1</v>
      </c>
    </row>
    <row r="299" spans="19:22" x14ac:dyDescent="0.3">
      <c r="S299" s="3">
        <v>15</v>
      </c>
      <c r="T299" s="3">
        <v>17</v>
      </c>
      <c r="U299" s="3">
        <v>3</v>
      </c>
      <c r="V299" s="3">
        <v>3</v>
      </c>
    </row>
    <row r="300" spans="19:22" x14ac:dyDescent="0.3">
      <c r="S300" s="5">
        <v>15</v>
      </c>
      <c r="T300" s="5">
        <v>18</v>
      </c>
      <c r="U300" s="5">
        <v>5</v>
      </c>
      <c r="V300" s="5">
        <v>5</v>
      </c>
    </row>
    <row r="301" spans="19:22" x14ac:dyDescent="0.3">
      <c r="S301" s="3">
        <v>15</v>
      </c>
      <c r="T301" s="3">
        <v>19</v>
      </c>
      <c r="U301" s="3">
        <v>3</v>
      </c>
      <c r="V301" s="3">
        <v>3</v>
      </c>
    </row>
    <row r="302" spans="19:22" x14ac:dyDescent="0.3">
      <c r="S302" s="5">
        <v>15</v>
      </c>
      <c r="T302" s="5">
        <v>20</v>
      </c>
      <c r="U302" s="5">
        <v>4</v>
      </c>
      <c r="V302" s="5">
        <v>4</v>
      </c>
    </row>
    <row r="303" spans="19:22" x14ac:dyDescent="0.3">
      <c r="S303" s="3">
        <v>16</v>
      </c>
      <c r="T303" s="3">
        <v>1</v>
      </c>
      <c r="U303" s="3">
        <v>4</v>
      </c>
      <c r="V303" s="3">
        <v>4</v>
      </c>
    </row>
    <row r="304" spans="19:22" x14ac:dyDescent="0.3">
      <c r="S304" s="5">
        <v>16</v>
      </c>
      <c r="T304" s="5">
        <v>2</v>
      </c>
      <c r="U304" s="5">
        <v>3</v>
      </c>
      <c r="V304" s="5">
        <v>3</v>
      </c>
    </row>
    <row r="305" spans="19:22" x14ac:dyDescent="0.3">
      <c r="S305" s="3">
        <v>16</v>
      </c>
      <c r="T305" s="3">
        <v>3</v>
      </c>
      <c r="U305" s="3">
        <v>10</v>
      </c>
      <c r="V305" s="3">
        <v>10</v>
      </c>
    </row>
    <row r="306" spans="19:22" x14ac:dyDescent="0.3">
      <c r="S306" s="5">
        <v>16</v>
      </c>
      <c r="T306" s="5">
        <v>4</v>
      </c>
      <c r="U306" s="5">
        <v>8</v>
      </c>
      <c r="V306" s="5">
        <v>8</v>
      </c>
    </row>
    <row r="307" spans="19:22" x14ac:dyDescent="0.3">
      <c r="S307" s="3">
        <v>16</v>
      </c>
      <c r="T307" s="3">
        <v>5</v>
      </c>
      <c r="U307" s="3">
        <v>3</v>
      </c>
      <c r="V307" s="3">
        <v>3</v>
      </c>
    </row>
    <row r="308" spans="19:22" x14ac:dyDescent="0.3">
      <c r="S308" s="5">
        <v>16</v>
      </c>
      <c r="T308" s="5">
        <v>6</v>
      </c>
      <c r="U308" s="5">
        <v>2</v>
      </c>
      <c r="V308" s="5">
        <v>2</v>
      </c>
    </row>
    <row r="309" spans="19:22" x14ac:dyDescent="0.3">
      <c r="S309" s="3">
        <v>16</v>
      </c>
      <c r="T309" s="3">
        <v>7</v>
      </c>
      <c r="U309" s="3">
        <v>3</v>
      </c>
      <c r="V309" s="3">
        <v>3</v>
      </c>
    </row>
    <row r="310" spans="19:22" x14ac:dyDescent="0.3">
      <c r="S310" s="5">
        <v>16</v>
      </c>
      <c r="T310" s="5">
        <v>8</v>
      </c>
      <c r="U310" s="5">
        <v>3</v>
      </c>
      <c r="V310" s="5">
        <v>3</v>
      </c>
    </row>
    <row r="311" spans="19:22" x14ac:dyDescent="0.3">
      <c r="S311" s="3">
        <v>16</v>
      </c>
      <c r="T311" s="3">
        <v>9</v>
      </c>
      <c r="U311" s="3">
        <v>2</v>
      </c>
      <c r="V311" s="3">
        <v>2</v>
      </c>
    </row>
    <row r="312" spans="19:22" x14ac:dyDescent="0.3">
      <c r="S312" s="5">
        <v>16</v>
      </c>
      <c r="T312" s="5">
        <v>10</v>
      </c>
      <c r="U312" s="5">
        <v>10</v>
      </c>
      <c r="V312" s="5">
        <v>10</v>
      </c>
    </row>
    <row r="313" spans="19:22" x14ac:dyDescent="0.3">
      <c r="S313" s="3">
        <v>16</v>
      </c>
      <c r="T313" s="3">
        <v>11</v>
      </c>
      <c r="U313" s="3">
        <v>6</v>
      </c>
      <c r="V313" s="3">
        <v>6</v>
      </c>
    </row>
    <row r="314" spans="19:22" x14ac:dyDescent="0.3">
      <c r="S314" s="5">
        <v>16</v>
      </c>
      <c r="T314" s="5">
        <v>12</v>
      </c>
      <c r="U314" s="5">
        <v>9</v>
      </c>
      <c r="V314" s="5">
        <v>9</v>
      </c>
    </row>
    <row r="315" spans="19:22" x14ac:dyDescent="0.3">
      <c r="S315" s="3">
        <v>16</v>
      </c>
      <c r="T315" s="3">
        <v>13</v>
      </c>
      <c r="U315" s="3">
        <v>8</v>
      </c>
      <c r="V315" s="3">
        <v>8</v>
      </c>
    </row>
    <row r="316" spans="19:22" x14ac:dyDescent="0.3">
      <c r="S316" s="5">
        <v>16</v>
      </c>
      <c r="T316" s="5">
        <v>14</v>
      </c>
      <c r="U316" s="5">
        <v>4</v>
      </c>
      <c r="V316" s="5">
        <v>4</v>
      </c>
    </row>
    <row r="317" spans="19:22" x14ac:dyDescent="0.3">
      <c r="S317" s="3">
        <v>16</v>
      </c>
      <c r="T317" s="3">
        <v>15</v>
      </c>
      <c r="U317" s="3">
        <v>5</v>
      </c>
      <c r="V317" s="3">
        <v>5</v>
      </c>
    </row>
    <row r="318" spans="19:22" x14ac:dyDescent="0.3">
      <c r="S318" s="5">
        <v>16</v>
      </c>
      <c r="T318" s="5">
        <v>16</v>
      </c>
      <c r="U318" s="5">
        <v>1</v>
      </c>
      <c r="V318" s="5">
        <v>1</v>
      </c>
    </row>
    <row r="319" spans="19:22" x14ac:dyDescent="0.3">
      <c r="S319" s="3">
        <v>16</v>
      </c>
      <c r="T319" s="3">
        <v>17</v>
      </c>
      <c r="U319" s="3">
        <v>5</v>
      </c>
      <c r="V319" s="3">
        <v>5</v>
      </c>
    </row>
    <row r="320" spans="19:22" x14ac:dyDescent="0.3">
      <c r="S320" s="5">
        <v>16</v>
      </c>
      <c r="T320" s="5">
        <v>18</v>
      </c>
      <c r="U320" s="5">
        <v>1</v>
      </c>
      <c r="V320" s="5">
        <v>1</v>
      </c>
    </row>
    <row r="321" spans="19:22" x14ac:dyDescent="0.3">
      <c r="S321" s="3">
        <v>16</v>
      </c>
      <c r="T321" s="3">
        <v>19</v>
      </c>
      <c r="U321" s="3">
        <v>9</v>
      </c>
      <c r="V321" s="3">
        <v>9</v>
      </c>
    </row>
    <row r="322" spans="19:22" x14ac:dyDescent="0.3">
      <c r="S322" s="5">
        <v>16</v>
      </c>
      <c r="T322" s="5">
        <v>20</v>
      </c>
      <c r="U322" s="5">
        <v>2</v>
      </c>
      <c r="V322" s="5">
        <v>2</v>
      </c>
    </row>
    <row r="323" spans="19:22" x14ac:dyDescent="0.3">
      <c r="S323" s="3">
        <v>17</v>
      </c>
      <c r="T323" s="3">
        <v>1</v>
      </c>
      <c r="U323" s="3">
        <v>6</v>
      </c>
      <c r="V323" s="3">
        <v>6</v>
      </c>
    </row>
    <row r="324" spans="19:22" x14ac:dyDescent="0.3">
      <c r="S324" s="5">
        <v>17</v>
      </c>
      <c r="T324" s="5">
        <v>2</v>
      </c>
      <c r="U324" s="5">
        <v>8</v>
      </c>
      <c r="V324" s="5">
        <v>8</v>
      </c>
    </row>
    <row r="325" spans="19:22" x14ac:dyDescent="0.3">
      <c r="S325" s="3">
        <v>17</v>
      </c>
      <c r="T325" s="3">
        <v>3</v>
      </c>
      <c r="U325" s="3">
        <v>9</v>
      </c>
      <c r="V325" s="3">
        <v>9</v>
      </c>
    </row>
    <row r="326" spans="19:22" x14ac:dyDescent="0.3">
      <c r="S326" s="5">
        <v>17</v>
      </c>
      <c r="T326" s="5">
        <v>4</v>
      </c>
      <c r="U326" s="5">
        <v>7</v>
      </c>
      <c r="V326" s="5">
        <v>7</v>
      </c>
    </row>
    <row r="327" spans="19:22" x14ac:dyDescent="0.3">
      <c r="S327" s="3">
        <v>17</v>
      </c>
      <c r="T327" s="3">
        <v>5</v>
      </c>
      <c r="U327" s="3">
        <v>10</v>
      </c>
      <c r="V327" s="3">
        <v>10</v>
      </c>
    </row>
    <row r="328" spans="19:22" x14ac:dyDescent="0.3">
      <c r="S328" s="5">
        <v>17</v>
      </c>
      <c r="T328" s="5">
        <v>6</v>
      </c>
      <c r="U328" s="5">
        <v>6</v>
      </c>
      <c r="V328" s="5">
        <v>6</v>
      </c>
    </row>
    <row r="329" spans="19:22" x14ac:dyDescent="0.3">
      <c r="S329" s="3">
        <v>17</v>
      </c>
      <c r="T329" s="3">
        <v>7</v>
      </c>
      <c r="U329" s="3">
        <v>2</v>
      </c>
      <c r="V329" s="3">
        <v>2</v>
      </c>
    </row>
    <row r="330" spans="19:22" x14ac:dyDescent="0.3">
      <c r="S330" s="5">
        <v>17</v>
      </c>
      <c r="T330" s="5">
        <v>8</v>
      </c>
      <c r="U330" s="5">
        <v>9</v>
      </c>
      <c r="V330" s="5">
        <v>9</v>
      </c>
    </row>
    <row r="331" spans="19:22" x14ac:dyDescent="0.3">
      <c r="S331" s="3">
        <v>17</v>
      </c>
      <c r="T331" s="3">
        <v>9</v>
      </c>
      <c r="U331" s="3">
        <v>6</v>
      </c>
      <c r="V331" s="3">
        <v>6</v>
      </c>
    </row>
    <row r="332" spans="19:22" x14ac:dyDescent="0.3">
      <c r="S332" s="5">
        <v>17</v>
      </c>
      <c r="T332" s="5">
        <v>10</v>
      </c>
      <c r="U332" s="5">
        <v>4</v>
      </c>
      <c r="V332" s="5">
        <v>4</v>
      </c>
    </row>
    <row r="333" spans="19:22" x14ac:dyDescent="0.3">
      <c r="S333" s="3">
        <v>17</v>
      </c>
      <c r="T333" s="3">
        <v>11</v>
      </c>
      <c r="U333" s="3">
        <v>10</v>
      </c>
      <c r="V333" s="3">
        <v>10</v>
      </c>
    </row>
    <row r="334" spans="19:22" x14ac:dyDescent="0.3">
      <c r="S334" s="5">
        <v>17</v>
      </c>
      <c r="T334" s="5">
        <v>12</v>
      </c>
      <c r="U334" s="5">
        <v>10</v>
      </c>
      <c r="V334" s="5">
        <v>10</v>
      </c>
    </row>
    <row r="335" spans="19:22" x14ac:dyDescent="0.3">
      <c r="S335" s="3">
        <v>17</v>
      </c>
      <c r="T335" s="3">
        <v>13</v>
      </c>
      <c r="U335" s="3">
        <v>7</v>
      </c>
      <c r="V335" s="3">
        <v>7</v>
      </c>
    </row>
    <row r="336" spans="19:22" x14ac:dyDescent="0.3">
      <c r="S336" s="5">
        <v>17</v>
      </c>
      <c r="T336" s="5">
        <v>14</v>
      </c>
      <c r="U336" s="5">
        <v>8</v>
      </c>
      <c r="V336" s="5">
        <v>8</v>
      </c>
    </row>
    <row r="337" spans="19:22" x14ac:dyDescent="0.3">
      <c r="S337" s="3">
        <v>17</v>
      </c>
      <c r="T337" s="3">
        <v>15</v>
      </c>
      <c r="U337" s="3">
        <v>10</v>
      </c>
      <c r="V337" s="3">
        <v>10</v>
      </c>
    </row>
    <row r="338" spans="19:22" x14ac:dyDescent="0.3">
      <c r="S338" s="5">
        <v>17</v>
      </c>
      <c r="T338" s="5">
        <v>16</v>
      </c>
      <c r="U338" s="5">
        <v>8</v>
      </c>
      <c r="V338" s="5">
        <v>8</v>
      </c>
    </row>
    <row r="339" spans="19:22" x14ac:dyDescent="0.3">
      <c r="S339" s="3">
        <v>17</v>
      </c>
      <c r="T339" s="3">
        <v>17</v>
      </c>
      <c r="U339" s="3">
        <v>1</v>
      </c>
      <c r="V339" s="3">
        <v>1</v>
      </c>
    </row>
    <row r="340" spans="19:22" x14ac:dyDescent="0.3">
      <c r="S340" s="5">
        <v>17</v>
      </c>
      <c r="T340" s="5">
        <v>18</v>
      </c>
      <c r="U340" s="5">
        <v>1</v>
      </c>
      <c r="V340" s="5">
        <v>1</v>
      </c>
    </row>
    <row r="341" spans="19:22" x14ac:dyDescent="0.3">
      <c r="S341" s="3">
        <v>17</v>
      </c>
      <c r="T341" s="3">
        <v>19</v>
      </c>
      <c r="U341" s="3">
        <v>5</v>
      </c>
      <c r="V341" s="3">
        <v>5</v>
      </c>
    </row>
    <row r="342" spans="19:22" x14ac:dyDescent="0.3">
      <c r="S342" s="5">
        <v>17</v>
      </c>
      <c r="T342" s="5">
        <v>20</v>
      </c>
      <c r="U342" s="5">
        <v>10</v>
      </c>
      <c r="V342" s="5">
        <v>10</v>
      </c>
    </row>
    <row r="343" spans="19:22" x14ac:dyDescent="0.3">
      <c r="S343" s="3">
        <v>18</v>
      </c>
      <c r="T343" s="3">
        <v>1</v>
      </c>
      <c r="U343" s="3">
        <v>5</v>
      </c>
      <c r="V343" s="3">
        <v>5</v>
      </c>
    </row>
    <row r="344" spans="19:22" x14ac:dyDescent="0.3">
      <c r="S344" s="5">
        <v>18</v>
      </c>
      <c r="T344" s="5">
        <v>2</v>
      </c>
      <c r="U344" s="5">
        <v>9</v>
      </c>
      <c r="V344" s="5">
        <v>9</v>
      </c>
    </row>
    <row r="345" spans="19:22" x14ac:dyDescent="0.3">
      <c r="S345" s="3">
        <v>18</v>
      </c>
      <c r="T345" s="3">
        <v>3</v>
      </c>
      <c r="U345" s="3">
        <v>4</v>
      </c>
      <c r="V345" s="3">
        <v>4</v>
      </c>
    </row>
    <row r="346" spans="19:22" x14ac:dyDescent="0.3">
      <c r="S346" s="5">
        <v>18</v>
      </c>
      <c r="T346" s="5">
        <v>4</v>
      </c>
      <c r="U346" s="5">
        <v>3</v>
      </c>
      <c r="V346" s="5">
        <v>3</v>
      </c>
    </row>
    <row r="347" spans="19:22" x14ac:dyDescent="0.3">
      <c r="S347" s="3">
        <v>18</v>
      </c>
      <c r="T347" s="3">
        <v>5</v>
      </c>
      <c r="U347" s="3">
        <v>3</v>
      </c>
      <c r="V347" s="3">
        <v>3</v>
      </c>
    </row>
    <row r="348" spans="19:22" x14ac:dyDescent="0.3">
      <c r="S348" s="5">
        <v>18</v>
      </c>
      <c r="T348" s="5">
        <v>6</v>
      </c>
      <c r="U348" s="5">
        <v>8</v>
      </c>
      <c r="V348" s="5">
        <v>8</v>
      </c>
    </row>
    <row r="349" spans="19:22" x14ac:dyDescent="0.3">
      <c r="S349" s="3">
        <v>18</v>
      </c>
      <c r="T349" s="3">
        <v>7</v>
      </c>
      <c r="U349" s="3">
        <v>1</v>
      </c>
      <c r="V349" s="3">
        <v>1</v>
      </c>
    </row>
    <row r="350" spans="19:22" x14ac:dyDescent="0.3">
      <c r="S350" s="5">
        <v>18</v>
      </c>
      <c r="T350" s="5">
        <v>8</v>
      </c>
      <c r="U350" s="5">
        <v>8</v>
      </c>
      <c r="V350" s="5">
        <v>8</v>
      </c>
    </row>
    <row r="351" spans="19:22" x14ac:dyDescent="0.3">
      <c r="S351" s="3">
        <v>18</v>
      </c>
      <c r="T351" s="3">
        <v>9</v>
      </c>
      <c r="U351" s="3">
        <v>6</v>
      </c>
      <c r="V351" s="3">
        <v>6</v>
      </c>
    </row>
    <row r="352" spans="19:22" x14ac:dyDescent="0.3">
      <c r="S352" s="5">
        <v>18</v>
      </c>
      <c r="T352" s="5">
        <v>10</v>
      </c>
      <c r="U352" s="5">
        <v>8</v>
      </c>
      <c r="V352" s="5">
        <v>8</v>
      </c>
    </row>
    <row r="353" spans="19:22" x14ac:dyDescent="0.3">
      <c r="S353" s="3">
        <v>18</v>
      </c>
      <c r="T353" s="3">
        <v>11</v>
      </c>
      <c r="U353" s="3">
        <v>2</v>
      </c>
      <c r="V353" s="3">
        <v>2</v>
      </c>
    </row>
    <row r="354" spans="19:22" x14ac:dyDescent="0.3">
      <c r="S354" s="5">
        <v>18</v>
      </c>
      <c r="T354" s="5">
        <v>12</v>
      </c>
      <c r="U354" s="5">
        <v>8</v>
      </c>
      <c r="V354" s="5">
        <v>8</v>
      </c>
    </row>
    <row r="355" spans="19:22" x14ac:dyDescent="0.3">
      <c r="S355" s="3">
        <v>18</v>
      </c>
      <c r="T355" s="3">
        <v>13</v>
      </c>
      <c r="U355" s="3">
        <v>5</v>
      </c>
      <c r="V355" s="3">
        <v>5</v>
      </c>
    </row>
    <row r="356" spans="19:22" x14ac:dyDescent="0.3">
      <c r="S356" s="5">
        <v>18</v>
      </c>
      <c r="T356" s="5">
        <v>14</v>
      </c>
      <c r="U356" s="5">
        <v>4</v>
      </c>
      <c r="V356" s="5">
        <v>4</v>
      </c>
    </row>
    <row r="357" spans="19:22" x14ac:dyDescent="0.3">
      <c r="S357" s="3">
        <v>18</v>
      </c>
      <c r="T357" s="3">
        <v>15</v>
      </c>
      <c r="U357" s="3">
        <v>8</v>
      </c>
      <c r="V357" s="3">
        <v>8</v>
      </c>
    </row>
    <row r="358" spans="19:22" x14ac:dyDescent="0.3">
      <c r="S358" s="5">
        <v>18</v>
      </c>
      <c r="T358" s="5">
        <v>16</v>
      </c>
      <c r="U358" s="5">
        <v>3</v>
      </c>
      <c r="V358" s="5">
        <v>3</v>
      </c>
    </row>
    <row r="359" spans="19:22" x14ac:dyDescent="0.3">
      <c r="S359" s="3">
        <v>18</v>
      </c>
      <c r="T359" s="3">
        <v>17</v>
      </c>
      <c r="U359" s="3">
        <v>8</v>
      </c>
      <c r="V359" s="3">
        <v>8</v>
      </c>
    </row>
    <row r="360" spans="19:22" x14ac:dyDescent="0.3">
      <c r="S360" s="5">
        <v>18</v>
      </c>
      <c r="T360" s="5">
        <v>18</v>
      </c>
      <c r="U360" s="5">
        <v>1</v>
      </c>
      <c r="V360" s="5">
        <v>1</v>
      </c>
    </row>
    <row r="361" spans="19:22" x14ac:dyDescent="0.3">
      <c r="S361" s="3">
        <v>18</v>
      </c>
      <c r="T361" s="3">
        <v>19</v>
      </c>
      <c r="U361" s="3">
        <v>5</v>
      </c>
      <c r="V361" s="3">
        <v>5</v>
      </c>
    </row>
    <row r="362" spans="19:22" x14ac:dyDescent="0.3">
      <c r="S362" s="5">
        <v>18</v>
      </c>
      <c r="T362" s="5">
        <v>20</v>
      </c>
      <c r="U362" s="5">
        <v>5</v>
      </c>
      <c r="V362" s="5">
        <v>5</v>
      </c>
    </row>
    <row r="363" spans="19:22" x14ac:dyDescent="0.3">
      <c r="S363" s="3">
        <v>19</v>
      </c>
      <c r="T363" s="3">
        <v>1</v>
      </c>
      <c r="U363" s="3">
        <v>2</v>
      </c>
      <c r="V363" s="3">
        <v>2</v>
      </c>
    </row>
    <row r="364" spans="19:22" x14ac:dyDescent="0.3">
      <c r="S364" s="5">
        <v>19</v>
      </c>
      <c r="T364" s="5">
        <v>2</v>
      </c>
      <c r="U364" s="5">
        <v>2</v>
      </c>
      <c r="V364" s="5">
        <v>2</v>
      </c>
    </row>
    <row r="365" spans="19:22" x14ac:dyDescent="0.3">
      <c r="S365" s="3">
        <v>19</v>
      </c>
      <c r="T365" s="3">
        <v>3</v>
      </c>
      <c r="U365" s="3">
        <v>5</v>
      </c>
      <c r="V365" s="3">
        <v>5</v>
      </c>
    </row>
    <row r="366" spans="19:22" x14ac:dyDescent="0.3">
      <c r="S366" s="5">
        <v>19</v>
      </c>
      <c r="T366" s="5">
        <v>4</v>
      </c>
      <c r="U366" s="5">
        <v>7</v>
      </c>
      <c r="V366" s="5">
        <v>7</v>
      </c>
    </row>
    <row r="367" spans="19:22" x14ac:dyDescent="0.3">
      <c r="S367" s="3">
        <v>19</v>
      </c>
      <c r="T367" s="3">
        <v>5</v>
      </c>
      <c r="U367" s="3">
        <v>9</v>
      </c>
      <c r="V367" s="3">
        <v>9</v>
      </c>
    </row>
    <row r="368" spans="19:22" x14ac:dyDescent="0.3">
      <c r="S368" s="5">
        <v>19</v>
      </c>
      <c r="T368" s="5">
        <v>6</v>
      </c>
      <c r="U368" s="5">
        <v>10</v>
      </c>
      <c r="V368" s="5">
        <v>10</v>
      </c>
    </row>
    <row r="369" spans="19:22" x14ac:dyDescent="0.3">
      <c r="S369" s="3">
        <v>19</v>
      </c>
      <c r="T369" s="3">
        <v>7</v>
      </c>
      <c r="U369" s="3">
        <v>4</v>
      </c>
      <c r="V369" s="3">
        <v>4</v>
      </c>
    </row>
    <row r="370" spans="19:22" x14ac:dyDescent="0.3">
      <c r="S370" s="5">
        <v>19</v>
      </c>
      <c r="T370" s="5">
        <v>8</v>
      </c>
      <c r="U370" s="5">
        <v>3</v>
      </c>
      <c r="V370" s="5">
        <v>3</v>
      </c>
    </row>
    <row r="371" spans="19:22" x14ac:dyDescent="0.3">
      <c r="S371" s="3">
        <v>19</v>
      </c>
      <c r="T371" s="3">
        <v>9</v>
      </c>
      <c r="U371" s="3">
        <v>9</v>
      </c>
      <c r="V371" s="3">
        <v>9</v>
      </c>
    </row>
    <row r="372" spans="19:22" x14ac:dyDescent="0.3">
      <c r="S372" s="5">
        <v>19</v>
      </c>
      <c r="T372" s="5">
        <v>10</v>
      </c>
      <c r="U372" s="5">
        <v>1</v>
      </c>
      <c r="V372" s="5">
        <v>1</v>
      </c>
    </row>
    <row r="373" spans="19:22" x14ac:dyDescent="0.3">
      <c r="S373" s="3">
        <v>19</v>
      </c>
      <c r="T373" s="3">
        <v>11</v>
      </c>
      <c r="U373" s="3">
        <v>4</v>
      </c>
      <c r="V373" s="3">
        <v>4</v>
      </c>
    </row>
    <row r="374" spans="19:22" x14ac:dyDescent="0.3">
      <c r="S374" s="5">
        <v>19</v>
      </c>
      <c r="T374" s="5">
        <v>12</v>
      </c>
      <c r="U374" s="5">
        <v>6</v>
      </c>
      <c r="V374" s="5">
        <v>6</v>
      </c>
    </row>
    <row r="375" spans="19:22" x14ac:dyDescent="0.3">
      <c r="S375" s="3">
        <v>19</v>
      </c>
      <c r="T375" s="3">
        <v>13</v>
      </c>
      <c r="U375" s="3">
        <v>1</v>
      </c>
      <c r="V375" s="3">
        <v>1</v>
      </c>
    </row>
    <row r="376" spans="19:22" x14ac:dyDescent="0.3">
      <c r="S376" s="5">
        <v>19</v>
      </c>
      <c r="T376" s="5">
        <v>14</v>
      </c>
      <c r="U376" s="5">
        <v>10</v>
      </c>
      <c r="V376" s="5">
        <v>10</v>
      </c>
    </row>
    <row r="377" spans="19:22" x14ac:dyDescent="0.3">
      <c r="S377" s="3">
        <v>19</v>
      </c>
      <c r="T377" s="3">
        <v>15</v>
      </c>
      <c r="U377" s="3">
        <v>5</v>
      </c>
      <c r="V377" s="3">
        <v>5</v>
      </c>
    </row>
    <row r="378" spans="19:22" x14ac:dyDescent="0.3">
      <c r="S378" s="5">
        <v>19</v>
      </c>
      <c r="T378" s="5">
        <v>16</v>
      </c>
      <c r="U378" s="5">
        <v>1</v>
      </c>
      <c r="V378" s="5">
        <v>1</v>
      </c>
    </row>
    <row r="379" spans="19:22" x14ac:dyDescent="0.3">
      <c r="S379" s="3">
        <v>19</v>
      </c>
      <c r="T379" s="3">
        <v>17</v>
      </c>
      <c r="U379" s="3">
        <v>4</v>
      </c>
      <c r="V379" s="3">
        <v>4</v>
      </c>
    </row>
    <row r="380" spans="19:22" x14ac:dyDescent="0.3">
      <c r="S380" s="5">
        <v>19</v>
      </c>
      <c r="T380" s="5">
        <v>18</v>
      </c>
      <c r="U380" s="5">
        <v>10</v>
      </c>
      <c r="V380" s="5">
        <v>10</v>
      </c>
    </row>
    <row r="381" spans="19:22" x14ac:dyDescent="0.3">
      <c r="S381" s="3">
        <v>19</v>
      </c>
      <c r="T381" s="3">
        <v>19</v>
      </c>
      <c r="U381" s="3">
        <v>1</v>
      </c>
      <c r="V381" s="3">
        <v>1</v>
      </c>
    </row>
    <row r="382" spans="19:22" x14ac:dyDescent="0.3">
      <c r="S382" s="5">
        <v>19</v>
      </c>
      <c r="T382" s="5">
        <v>20</v>
      </c>
      <c r="U382" s="5">
        <v>7</v>
      </c>
      <c r="V382" s="5">
        <v>7</v>
      </c>
    </row>
    <row r="383" spans="19:22" x14ac:dyDescent="0.3">
      <c r="S383" s="3">
        <v>20</v>
      </c>
      <c r="T383" s="3">
        <v>1</v>
      </c>
      <c r="U383" s="3">
        <v>2</v>
      </c>
      <c r="V383" s="3">
        <v>2</v>
      </c>
    </row>
    <row r="384" spans="19:22" x14ac:dyDescent="0.3">
      <c r="S384" s="5">
        <v>20</v>
      </c>
      <c r="T384" s="5">
        <v>2</v>
      </c>
      <c r="U384" s="5">
        <v>10</v>
      </c>
      <c r="V384" s="5">
        <v>10</v>
      </c>
    </row>
    <row r="385" spans="19:22" x14ac:dyDescent="0.3">
      <c r="S385" s="3">
        <v>20</v>
      </c>
      <c r="T385" s="3">
        <v>3</v>
      </c>
      <c r="U385" s="3">
        <v>6</v>
      </c>
      <c r="V385" s="3">
        <v>6</v>
      </c>
    </row>
    <row r="386" spans="19:22" x14ac:dyDescent="0.3">
      <c r="S386" s="5">
        <v>20</v>
      </c>
      <c r="T386" s="5">
        <v>4</v>
      </c>
      <c r="U386" s="5">
        <v>7</v>
      </c>
      <c r="V386" s="5">
        <v>7</v>
      </c>
    </row>
    <row r="387" spans="19:22" x14ac:dyDescent="0.3">
      <c r="S387" s="3">
        <v>20</v>
      </c>
      <c r="T387" s="3">
        <v>5</v>
      </c>
      <c r="U387" s="3">
        <v>6</v>
      </c>
      <c r="V387" s="3">
        <v>6</v>
      </c>
    </row>
    <row r="388" spans="19:22" x14ac:dyDescent="0.3">
      <c r="S388" s="5">
        <v>20</v>
      </c>
      <c r="T388" s="5">
        <v>6</v>
      </c>
      <c r="U388" s="5">
        <v>1</v>
      </c>
      <c r="V388" s="5">
        <v>1</v>
      </c>
    </row>
    <row r="389" spans="19:22" x14ac:dyDescent="0.3">
      <c r="S389" s="3">
        <v>20</v>
      </c>
      <c r="T389" s="3">
        <v>7</v>
      </c>
      <c r="U389" s="3">
        <v>8</v>
      </c>
      <c r="V389" s="3">
        <v>8</v>
      </c>
    </row>
    <row r="390" spans="19:22" x14ac:dyDescent="0.3">
      <c r="S390" s="5">
        <v>20</v>
      </c>
      <c r="T390" s="5">
        <v>8</v>
      </c>
      <c r="U390" s="5">
        <v>10</v>
      </c>
      <c r="V390" s="5">
        <v>10</v>
      </c>
    </row>
    <row r="391" spans="19:22" x14ac:dyDescent="0.3">
      <c r="S391" s="3">
        <v>20</v>
      </c>
      <c r="T391" s="3">
        <v>9</v>
      </c>
      <c r="U391" s="3">
        <v>5</v>
      </c>
      <c r="V391" s="3">
        <v>5</v>
      </c>
    </row>
    <row r="392" spans="19:22" x14ac:dyDescent="0.3">
      <c r="S392" s="5">
        <v>20</v>
      </c>
      <c r="T392" s="5">
        <v>10</v>
      </c>
      <c r="U392" s="5">
        <v>4</v>
      </c>
      <c r="V392" s="5">
        <v>4</v>
      </c>
    </row>
    <row r="393" spans="19:22" x14ac:dyDescent="0.3">
      <c r="S393" s="3">
        <v>20</v>
      </c>
      <c r="T393" s="3">
        <v>11</v>
      </c>
      <c r="U393" s="3">
        <v>1</v>
      </c>
      <c r="V393" s="3">
        <v>1</v>
      </c>
    </row>
    <row r="394" spans="19:22" x14ac:dyDescent="0.3">
      <c r="S394" s="5">
        <v>20</v>
      </c>
      <c r="T394" s="5">
        <v>12</v>
      </c>
      <c r="U394" s="5">
        <v>2</v>
      </c>
      <c r="V394" s="5">
        <v>2</v>
      </c>
    </row>
    <row r="395" spans="19:22" x14ac:dyDescent="0.3">
      <c r="S395" s="3">
        <v>20</v>
      </c>
      <c r="T395" s="3">
        <v>13</v>
      </c>
      <c r="U395" s="3">
        <v>1</v>
      </c>
      <c r="V395" s="3">
        <v>1</v>
      </c>
    </row>
    <row r="396" spans="19:22" x14ac:dyDescent="0.3">
      <c r="S396" s="5">
        <v>20</v>
      </c>
      <c r="T396" s="5">
        <v>14</v>
      </c>
      <c r="U396" s="5">
        <v>7</v>
      </c>
      <c r="V396" s="5">
        <v>7</v>
      </c>
    </row>
    <row r="397" spans="19:22" x14ac:dyDescent="0.3">
      <c r="S397" s="3">
        <v>20</v>
      </c>
      <c r="T397" s="3">
        <v>15</v>
      </c>
      <c r="U397" s="3">
        <v>1</v>
      </c>
      <c r="V397" s="3">
        <v>1</v>
      </c>
    </row>
    <row r="398" spans="19:22" x14ac:dyDescent="0.3">
      <c r="S398" s="5">
        <v>20</v>
      </c>
      <c r="T398" s="5">
        <v>16</v>
      </c>
      <c r="U398" s="5">
        <v>6</v>
      </c>
      <c r="V398" s="5">
        <v>6</v>
      </c>
    </row>
    <row r="399" spans="19:22" x14ac:dyDescent="0.3">
      <c r="S399" s="3">
        <v>20</v>
      </c>
      <c r="T399" s="3">
        <v>17</v>
      </c>
      <c r="U399" s="3">
        <v>5</v>
      </c>
      <c r="V399" s="3">
        <v>5</v>
      </c>
    </row>
    <row r="400" spans="19:22" x14ac:dyDescent="0.3">
      <c r="S400" s="5">
        <v>20</v>
      </c>
      <c r="T400" s="5">
        <v>18</v>
      </c>
      <c r="U400" s="5">
        <v>10</v>
      </c>
      <c r="V400" s="5">
        <v>10</v>
      </c>
    </row>
    <row r="401" spans="19:22" x14ac:dyDescent="0.3">
      <c r="S401" s="3">
        <v>20</v>
      </c>
      <c r="T401" s="3">
        <v>19</v>
      </c>
      <c r="U401" s="3">
        <v>9</v>
      </c>
      <c r="V401" s="3">
        <v>9</v>
      </c>
    </row>
    <row r="402" spans="19:22" x14ac:dyDescent="0.3">
      <c r="S402" s="5">
        <v>20</v>
      </c>
      <c r="T402" s="5">
        <v>20</v>
      </c>
      <c r="U402" s="5">
        <v>1</v>
      </c>
      <c r="V402" s="5">
        <v>1</v>
      </c>
    </row>
  </sheetData>
  <autoFilter ref="S2:V402" xr:uid="{00000000-0001-0000-0000-000000000000}"/>
  <mergeCells count="5">
    <mergeCell ref="L1:N1"/>
    <mergeCell ref="P1:Q1"/>
    <mergeCell ref="A1:B1"/>
    <mergeCell ref="D1:J1"/>
    <mergeCell ref="S1:V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7"/>
  <sheetViews>
    <sheetView showGridLines="0" zoomScale="55" zoomScaleNormal="55" workbookViewId="0">
      <selection activeCell="C10" sqref="C10"/>
    </sheetView>
  </sheetViews>
  <sheetFormatPr defaultColWidth="8.77734375" defaultRowHeight="14.4" x14ac:dyDescent="0.3"/>
  <cols>
    <col min="1" max="2" width="10.77734375" customWidth="1"/>
    <col min="3" max="3" width="21.33203125" style="29" bestFit="1" customWidth="1"/>
    <col min="4" max="4" width="19.88671875" style="29" bestFit="1" customWidth="1"/>
    <col min="5" max="5" width="23.77734375" style="29" bestFit="1" customWidth="1"/>
    <col min="6" max="7" width="10.77734375" style="18" customWidth="1"/>
    <col min="8" max="8" width="26" style="18" bestFit="1" customWidth="1"/>
    <col min="9" max="9" width="26.33203125" bestFit="1" customWidth="1"/>
    <col min="10" max="13" width="10.77734375" customWidth="1"/>
    <col min="14" max="14" width="10.6640625" customWidth="1"/>
    <col min="15" max="15" width="14" bestFit="1" customWidth="1"/>
    <col min="16" max="20" width="10.6640625" customWidth="1"/>
  </cols>
  <sheetData>
    <row r="1" spans="1:20" ht="15" thickBot="1" x14ac:dyDescent="0.35">
      <c r="A1" s="9" t="s">
        <v>23</v>
      </c>
      <c r="B1" s="9" t="s">
        <v>17</v>
      </c>
      <c r="C1" s="28" t="s">
        <v>24</v>
      </c>
      <c r="D1" s="28" t="s">
        <v>25</v>
      </c>
      <c r="E1" s="28" t="s">
        <v>26</v>
      </c>
      <c r="F1" s="27" t="s">
        <v>27</v>
      </c>
      <c r="G1" s="27" t="s">
        <v>28</v>
      </c>
      <c r="H1" s="27" t="s">
        <v>29</v>
      </c>
      <c r="I1" s="9" t="s">
        <v>30</v>
      </c>
      <c r="J1" s="9" t="s">
        <v>10</v>
      </c>
      <c r="K1" s="9" t="s">
        <v>11</v>
      </c>
      <c r="L1" s="9" t="s">
        <v>12</v>
      </c>
      <c r="M1" s="9" t="s">
        <v>13</v>
      </c>
      <c r="O1" s="1" t="s">
        <v>32</v>
      </c>
      <c r="P1" s="1" t="s">
        <v>6</v>
      </c>
      <c r="Q1" s="1" t="s">
        <v>33</v>
      </c>
      <c r="R1" s="1" t="s">
        <v>34</v>
      </c>
      <c r="S1" s="1" t="s">
        <v>35</v>
      </c>
      <c r="T1" s="1" t="s">
        <v>36</v>
      </c>
    </row>
    <row r="2" spans="1:20" ht="15" thickTop="1" x14ac:dyDescent="0.3">
      <c r="A2" s="10">
        <v>17</v>
      </c>
      <c r="B2" s="10">
        <v>1</v>
      </c>
      <c r="C2" s="13">
        <v>100000</v>
      </c>
      <c r="D2" s="13">
        <v>0</v>
      </c>
      <c r="E2" s="13">
        <v>100000</v>
      </c>
      <c r="F2" s="23">
        <v>4</v>
      </c>
      <c r="G2" s="23">
        <v>29.64</v>
      </c>
      <c r="H2" s="23">
        <v>25.64</v>
      </c>
      <c r="I2" s="13">
        <v>4</v>
      </c>
      <c r="J2" s="10">
        <v>81.7</v>
      </c>
      <c r="K2" s="10">
        <v>5.7</v>
      </c>
      <c r="L2" s="10">
        <v>4.7</v>
      </c>
      <c r="M2" s="10">
        <v>0.06</v>
      </c>
      <c r="O2" s="3" t="s">
        <v>10</v>
      </c>
      <c r="P2" s="3">
        <v>81.8</v>
      </c>
      <c r="Q2" s="3">
        <v>60</v>
      </c>
      <c r="R2" s="3">
        <v>100</v>
      </c>
      <c r="S2" s="3">
        <v>65</v>
      </c>
      <c r="T2" s="3" t="b">
        <v>1</v>
      </c>
    </row>
    <row r="3" spans="1:20" x14ac:dyDescent="0.3">
      <c r="A3" s="8">
        <v>16</v>
      </c>
      <c r="B3" s="8">
        <v>1</v>
      </c>
      <c r="C3" s="14">
        <v>100000</v>
      </c>
      <c r="D3" s="14">
        <v>0</v>
      </c>
      <c r="E3" s="14">
        <v>100000</v>
      </c>
      <c r="F3" s="24">
        <v>30.64</v>
      </c>
      <c r="G3" s="24">
        <v>56.28</v>
      </c>
      <c r="H3" s="24">
        <v>25.64</v>
      </c>
      <c r="I3" s="14">
        <v>1</v>
      </c>
      <c r="J3" s="8">
        <v>81.599999999999994</v>
      </c>
      <c r="K3" s="8">
        <v>5.6</v>
      </c>
      <c r="L3" s="8">
        <v>4.5999999999999996</v>
      </c>
      <c r="M3" s="8">
        <v>0.06</v>
      </c>
      <c r="O3" s="5" t="s">
        <v>11</v>
      </c>
      <c r="P3" s="5">
        <v>5.8</v>
      </c>
      <c r="Q3" s="5">
        <v>2.8</v>
      </c>
      <c r="R3" s="5">
        <v>5.8</v>
      </c>
      <c r="S3" s="5">
        <v>5.8</v>
      </c>
      <c r="T3" s="5" t="b">
        <v>1</v>
      </c>
    </row>
    <row r="4" spans="1:20" x14ac:dyDescent="0.3">
      <c r="A4" s="11">
        <v>20</v>
      </c>
      <c r="B4" s="11">
        <v>1</v>
      </c>
      <c r="C4" s="15">
        <v>100000</v>
      </c>
      <c r="D4" s="15">
        <v>0</v>
      </c>
      <c r="E4" s="15">
        <v>100000</v>
      </c>
      <c r="F4" s="25">
        <v>63.28</v>
      </c>
      <c r="G4" s="25">
        <v>88.92</v>
      </c>
      <c r="H4" s="25">
        <v>25.64</v>
      </c>
      <c r="I4" s="15">
        <v>7</v>
      </c>
      <c r="J4" s="11">
        <v>82</v>
      </c>
      <c r="K4" s="11">
        <v>6</v>
      </c>
      <c r="L4" s="11">
        <v>5</v>
      </c>
      <c r="M4" s="11">
        <v>0.06</v>
      </c>
      <c r="O4" s="3" t="s">
        <v>12</v>
      </c>
      <c r="P4" s="3">
        <v>4.8</v>
      </c>
      <c r="Q4" s="3">
        <v>2.5</v>
      </c>
      <c r="R4" s="3">
        <v>4.9000000000000004</v>
      </c>
      <c r="S4" s="3">
        <v>4.9000000000000004</v>
      </c>
      <c r="T4" s="3" t="b">
        <v>1</v>
      </c>
    </row>
    <row r="5" spans="1:20" x14ac:dyDescent="0.3">
      <c r="A5" s="8">
        <v>19</v>
      </c>
      <c r="B5" s="8">
        <v>1</v>
      </c>
      <c r="C5" s="14">
        <v>100000</v>
      </c>
      <c r="D5" s="14">
        <v>0</v>
      </c>
      <c r="E5" s="14">
        <v>100000</v>
      </c>
      <c r="F5" s="24">
        <v>89.92</v>
      </c>
      <c r="G5" s="24">
        <v>115.56</v>
      </c>
      <c r="H5" s="24">
        <v>25.64</v>
      </c>
      <c r="I5" s="14">
        <v>1</v>
      </c>
      <c r="J5" s="8">
        <v>81.900000000000006</v>
      </c>
      <c r="K5" s="8">
        <v>5.9</v>
      </c>
      <c r="L5" s="8">
        <v>4.9000000000000004</v>
      </c>
      <c r="M5" s="8">
        <v>0.06</v>
      </c>
      <c r="O5" s="5" t="s">
        <v>13</v>
      </c>
      <c r="P5" s="5">
        <v>0.06</v>
      </c>
      <c r="Q5" s="5">
        <v>0.05</v>
      </c>
      <c r="R5" s="5">
        <v>7.0000000000000007E-2</v>
      </c>
      <c r="S5" s="5">
        <v>7.0000000000000007E-2</v>
      </c>
      <c r="T5" s="5" t="b">
        <v>1</v>
      </c>
    </row>
    <row r="6" spans="1:20" ht="15" thickBot="1" x14ac:dyDescent="0.35">
      <c r="A6" s="11">
        <v>18</v>
      </c>
      <c r="B6" s="11">
        <v>2</v>
      </c>
      <c r="C6" s="15">
        <v>100000</v>
      </c>
      <c r="D6" s="15">
        <v>0</v>
      </c>
      <c r="E6" s="15">
        <v>100000</v>
      </c>
      <c r="F6" s="25">
        <v>1</v>
      </c>
      <c r="G6" s="25">
        <v>39.46</v>
      </c>
      <c r="H6" s="25">
        <v>38.46</v>
      </c>
      <c r="I6" s="15">
        <v>1</v>
      </c>
      <c r="J6" s="11">
        <v>81.8</v>
      </c>
      <c r="K6" s="11">
        <v>5.8</v>
      </c>
      <c r="L6" s="11">
        <v>4.8</v>
      </c>
      <c r="M6" s="11">
        <v>0.06</v>
      </c>
    </row>
    <row r="7" spans="1:20" ht="15" thickTop="1" x14ac:dyDescent="0.3">
      <c r="A7" s="12" t="s">
        <v>31</v>
      </c>
      <c r="B7" s="12">
        <v>0.06</v>
      </c>
      <c r="C7" s="16">
        <v>0</v>
      </c>
      <c r="D7" s="16"/>
      <c r="E7" s="16">
        <v>500000</v>
      </c>
      <c r="F7" s="26">
        <v>1</v>
      </c>
      <c r="G7" s="26">
        <v>115.56</v>
      </c>
      <c r="H7" s="26">
        <v>115.56</v>
      </c>
      <c r="I7" s="16">
        <v>14</v>
      </c>
      <c r="J7" s="12">
        <v>81.8</v>
      </c>
      <c r="K7" s="12">
        <v>5.8</v>
      </c>
      <c r="L7" s="12">
        <v>4.8</v>
      </c>
      <c r="M7" s="12">
        <v>0.06</v>
      </c>
    </row>
  </sheetData>
  <conditionalFormatting sqref="T2:T5">
    <cfRule type="cellIs" dxfId="1" priority="1" stopIfTrue="1" operator="equal">
      <formula>TRUE</formula>
    </cfRule>
    <cfRule type="cellIs" dxfId="0" priority="2" stopIfTrue="1" operator="equal">
      <formula>FALSE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autoFill="0" autoPict="0" macro="[0]!RunPyBlend">
                <anchor moveWithCells="1" sizeWithCells="1">
                  <from>
                    <xdr:col>8</xdr:col>
                    <xdr:colOff>1706880</xdr:colOff>
                    <xdr:row>29</xdr:row>
                    <xdr:rowOff>22860</xdr:rowOff>
                  </from>
                  <to>
                    <xdr:col>11</xdr:col>
                    <xdr:colOff>281940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zoomScale="130" zoomScaleNormal="130" workbookViewId="0">
      <selection sqref="A1:F5"/>
    </sheetView>
  </sheetViews>
  <sheetFormatPr defaultColWidth="8.77734375" defaultRowHeight="14.4" x14ac:dyDescent="0.3"/>
  <cols>
    <col min="1" max="6" width="10" customWidth="1"/>
  </cols>
  <sheetData>
    <row r="1" spans="1:6" x14ac:dyDescent="0.3">
      <c r="A1" s="1" t="s">
        <v>32</v>
      </c>
      <c r="B1" s="1" t="s">
        <v>6</v>
      </c>
      <c r="C1" s="1" t="s">
        <v>33</v>
      </c>
      <c r="D1" s="1" t="s">
        <v>34</v>
      </c>
      <c r="E1" s="1" t="s">
        <v>35</v>
      </c>
      <c r="F1" s="1" t="s">
        <v>36</v>
      </c>
    </row>
    <row r="2" spans="1:6" x14ac:dyDescent="0.3">
      <c r="A2" s="3" t="s">
        <v>10</v>
      </c>
      <c r="B2" s="3">
        <v>81.8</v>
      </c>
      <c r="C2" s="3">
        <v>60</v>
      </c>
      <c r="D2" s="3">
        <v>100</v>
      </c>
      <c r="E2" s="3">
        <v>65</v>
      </c>
      <c r="F2" s="3" t="b">
        <v>1</v>
      </c>
    </row>
    <row r="3" spans="1:6" x14ac:dyDescent="0.3">
      <c r="A3" s="5" t="s">
        <v>11</v>
      </c>
      <c r="B3" s="5">
        <v>5.8</v>
      </c>
      <c r="C3" s="5">
        <v>2.8</v>
      </c>
      <c r="D3" s="5">
        <v>5.8</v>
      </c>
      <c r="E3" s="5">
        <v>5.8</v>
      </c>
      <c r="F3" s="5" t="b">
        <v>1</v>
      </c>
    </row>
    <row r="4" spans="1:6" x14ac:dyDescent="0.3">
      <c r="A4" s="3" t="s">
        <v>12</v>
      </c>
      <c r="B4" s="3">
        <v>4.8</v>
      </c>
      <c r="C4" s="3">
        <v>2.5</v>
      </c>
      <c r="D4" s="3">
        <v>4.9000000000000004</v>
      </c>
      <c r="E4" s="3">
        <v>4.9000000000000004</v>
      </c>
      <c r="F4" s="3" t="b">
        <v>1</v>
      </c>
    </row>
    <row r="5" spans="1:6" x14ac:dyDescent="0.3">
      <c r="A5" s="5" t="s">
        <v>13</v>
      </c>
      <c r="B5" s="5">
        <v>0.06</v>
      </c>
      <c r="C5" s="5">
        <v>0.05</v>
      </c>
      <c r="D5" s="5">
        <v>7.0000000000000007E-2</v>
      </c>
      <c r="E5" s="5">
        <v>7.0000000000000007E-2</v>
      </c>
      <c r="F5" s="5" t="b">
        <v>1</v>
      </c>
    </row>
    <row r="6" spans="1:6" x14ac:dyDescent="0.3">
      <c r="A6" t="s">
        <v>38</v>
      </c>
      <c r="B6">
        <v>49.6</v>
      </c>
      <c r="C6">
        <v>0</v>
      </c>
      <c r="D6">
        <v>100</v>
      </c>
      <c r="E6">
        <v>45.8</v>
      </c>
      <c r="F6" t="b">
        <v>1</v>
      </c>
    </row>
  </sheetData>
  <conditionalFormatting sqref="F2:F5">
    <cfRule type="cellIs" dxfId="79" priority="1" stopIfTrue="1" operator="equal">
      <formula>TRUE</formula>
    </cfRule>
    <cfRule type="cellIs" dxfId="78" priority="2" stopIfTrue="1" operator="equal">
      <formula>FALSE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CF661-A6E5-494F-915B-179F30BF2542}">
  <sheetPr codeName="Sheet4"/>
  <dimension ref="A1:I27"/>
  <sheetViews>
    <sheetView workbookViewId="0">
      <selection activeCell="B3" sqref="B3"/>
    </sheetView>
  </sheetViews>
  <sheetFormatPr defaultRowHeight="14.4" x14ac:dyDescent="0.3"/>
  <cols>
    <col min="7" max="9" width="12.21875" customWidth="1"/>
  </cols>
  <sheetData>
    <row r="1" spans="1:9" x14ac:dyDescent="0.3">
      <c r="A1" s="1" t="s">
        <v>32</v>
      </c>
      <c r="B1" s="1" t="s">
        <v>6</v>
      </c>
      <c r="C1" s="1" t="s">
        <v>33</v>
      </c>
      <c r="D1" s="1" t="s">
        <v>34</v>
      </c>
      <c r="E1" s="1" t="s">
        <v>35</v>
      </c>
      <c r="G1" s="1">
        <v>1</v>
      </c>
      <c r="H1" s="1">
        <v>2</v>
      </c>
      <c r="I1" s="1" t="s">
        <v>37</v>
      </c>
    </row>
    <row r="2" spans="1:9" x14ac:dyDescent="0.3">
      <c r="A2" s="3" t="s">
        <v>10</v>
      </c>
      <c r="B2" s="3">
        <v>63.06</v>
      </c>
      <c r="C2" s="3">
        <v>60</v>
      </c>
      <c r="D2" s="3">
        <v>100</v>
      </c>
      <c r="E2" s="3">
        <v>65</v>
      </c>
      <c r="G2" s="20" cm="1">
        <f t="array" ref="G2">SUMPRODUCT(IF(Resultados!$B:$B=Sheet1!G$1,1,0),Resultados!$E:$E,Resultados!$J:$J)/SUMIFS(Resultados!$E:$E,Resultados!$B:$B,Sheet1!G$1)</f>
        <v>81.8</v>
      </c>
      <c r="H2" s="20" cm="1">
        <f t="array" ref="H2">SUMPRODUCT(IF(Resultados!$B:$B=Sheet1!H$1,1,0),Resultados!$E:$E,Resultados!$J:$J)/SUMIFS(Resultados!$E:$E,Resultados!$B:$B,Sheet1!H$1)</f>
        <v>81.8</v>
      </c>
      <c r="I2" s="19">
        <f>SUMPRODUCT(Resultados!$E:$E,Resultados!$J:$J)/SUM(Resultados!$E:$E)</f>
        <v>81.8</v>
      </c>
    </row>
    <row r="3" spans="1:9" x14ac:dyDescent="0.3">
      <c r="A3" s="5" t="s">
        <v>11</v>
      </c>
      <c r="B3" s="5">
        <v>3.84</v>
      </c>
      <c r="C3" s="5">
        <v>2.8</v>
      </c>
      <c r="D3" s="5">
        <v>5.8</v>
      </c>
      <c r="E3" s="5">
        <v>5.8</v>
      </c>
      <c r="G3" s="21" cm="1">
        <f t="array" ref="G3">SUMPRODUCT(IF(Resultados!$B:$B=Sheet1!G$1,1,0),Resultados!$E:$E,Resultados!$K:$K)/SUMIFS(Resultados!$E:$E,Resultados!$B:$B,Sheet1!G$1)</f>
        <v>5.8</v>
      </c>
      <c r="H3" s="21" cm="1">
        <f t="array" ref="H3">SUMPRODUCT(IF(Resultados!$B:$B=Sheet1!H$1,1,0),Resultados!$E:$E,Resultados!$K:$K)/SUMIFS(Resultados!$E:$E,Resultados!$B:$B,Sheet1!H$1)</f>
        <v>5.8</v>
      </c>
      <c r="I3" s="18">
        <f>SUMPRODUCT(Resultados!$E:$E,Resultados!$K:$K)/SUM(Resultados!$E:$E)</f>
        <v>5.8</v>
      </c>
    </row>
    <row r="4" spans="1:9" x14ac:dyDescent="0.3">
      <c r="A4" s="3" t="s">
        <v>12</v>
      </c>
      <c r="B4" s="3">
        <v>4.95</v>
      </c>
      <c r="C4" s="3">
        <v>2.5</v>
      </c>
      <c r="D4" s="3">
        <v>4.9000000000000004</v>
      </c>
      <c r="E4" s="3">
        <v>4.9000000000000004</v>
      </c>
      <c r="G4" s="21" cm="1">
        <f t="array" ref="G4">SUMPRODUCT(IF(Resultados!$B:$B=Sheet1!G$1,1,0),Resultados!$E:$E,Resultados!$L:$L)/SUMIFS(Resultados!$E:$E,Resultados!$B:$B,Sheet1!G$1)</f>
        <v>4.8</v>
      </c>
      <c r="H4" s="21" cm="1">
        <f t="array" ref="H4">SUMPRODUCT(IF(Resultados!$B:$B=Sheet1!H$1,1,0),Resultados!$E:$E,Resultados!$L:$L)/SUMIFS(Resultados!$E:$E,Resultados!$B:$B,Sheet1!H$1)</f>
        <v>4.8</v>
      </c>
      <c r="I4" s="18">
        <f>SUMPRODUCT(Resultados!$E:$E,Resultados!$L:$L)/SUM(Resultados!$E:$E)</f>
        <v>4.8</v>
      </c>
    </row>
    <row r="5" spans="1:9" x14ac:dyDescent="0.3">
      <c r="A5" s="5" t="s">
        <v>13</v>
      </c>
      <c r="B5" s="5">
        <v>0.06</v>
      </c>
      <c r="C5" s="5">
        <v>0.05</v>
      </c>
      <c r="D5" s="5">
        <v>7.0000000000000007E-2</v>
      </c>
      <c r="E5" s="5">
        <v>7.0000000000000007E-2</v>
      </c>
      <c r="G5" s="22" cm="1">
        <f t="array" ref="G5">SUMPRODUCT(IF(Resultados!$B:$B=Sheet1!G$1,1,0),Resultados!$E:$E,Resultados!$M:$M)/SUMIFS(Resultados!$E:$E,Resultados!$B:$B,Sheet1!G$1)</f>
        <v>0.06</v>
      </c>
      <c r="H5" s="22" cm="1">
        <f t="array" ref="H5">SUMPRODUCT(IF(Resultados!$B:$B=Sheet1!H$1,1,0),Resultados!$E:$E,Resultados!$M:$M)/SUMIFS(Resultados!$E:$E,Resultados!$B:$B,Sheet1!H$1)</f>
        <v>0.06</v>
      </c>
      <c r="I5" s="17">
        <f>SUMPRODUCT(Resultados!$E:$E,Resultados!$M:$M)/SUM(Resultados!$E:$E)</f>
        <v>0.06</v>
      </c>
    </row>
    <row r="8" spans="1:9" x14ac:dyDescent="0.3">
      <c r="A8">
        <v>1</v>
      </c>
      <c r="B8">
        <f>COUNTIFS(Resultados!A:A,Sheet1!A8)</f>
        <v>0</v>
      </c>
    </row>
    <row r="9" spans="1:9" x14ac:dyDescent="0.3">
      <c r="A9">
        <v>2</v>
      </c>
      <c r="B9">
        <f>COUNTIFS(Resultados!A:A,Sheet1!A9)</f>
        <v>0</v>
      </c>
    </row>
    <row r="10" spans="1:9" x14ac:dyDescent="0.3">
      <c r="A10">
        <v>3</v>
      </c>
      <c r="B10">
        <f>COUNTIFS(Resultados!A:A,Sheet1!A10)</f>
        <v>0</v>
      </c>
    </row>
    <row r="11" spans="1:9" x14ac:dyDescent="0.3">
      <c r="A11">
        <v>4</v>
      </c>
      <c r="B11">
        <f>COUNTIFS(Resultados!A:A,Sheet1!A11)</f>
        <v>0</v>
      </c>
    </row>
    <row r="12" spans="1:9" x14ac:dyDescent="0.3">
      <c r="A12">
        <v>5</v>
      </c>
      <c r="B12">
        <f>COUNTIFS(Resultados!A:A,Sheet1!A12)</f>
        <v>0</v>
      </c>
    </row>
    <row r="13" spans="1:9" x14ac:dyDescent="0.3">
      <c r="A13">
        <v>6</v>
      </c>
      <c r="B13">
        <f>COUNTIFS(Resultados!A:A,Sheet1!A13)</f>
        <v>0</v>
      </c>
    </row>
    <row r="14" spans="1:9" x14ac:dyDescent="0.3">
      <c r="A14">
        <v>7</v>
      </c>
      <c r="B14">
        <f>COUNTIFS(Resultados!A:A,Sheet1!A14)</f>
        <v>0</v>
      </c>
    </row>
    <row r="15" spans="1:9" x14ac:dyDescent="0.3">
      <c r="A15">
        <v>8</v>
      </c>
      <c r="B15">
        <f>COUNTIFS(Resultados!A:A,Sheet1!A15)</f>
        <v>0</v>
      </c>
    </row>
    <row r="16" spans="1:9" x14ac:dyDescent="0.3">
      <c r="A16">
        <v>9</v>
      </c>
      <c r="B16">
        <f>COUNTIFS(Resultados!A:A,Sheet1!A16)</f>
        <v>0</v>
      </c>
    </row>
    <row r="17" spans="1:2" x14ac:dyDescent="0.3">
      <c r="A17">
        <v>10</v>
      </c>
      <c r="B17">
        <f>COUNTIFS(Resultados!A:A,Sheet1!A17)</f>
        <v>0</v>
      </c>
    </row>
    <row r="18" spans="1:2" x14ac:dyDescent="0.3">
      <c r="A18">
        <v>11</v>
      </c>
      <c r="B18">
        <f>COUNTIFS(Resultados!A:A,Sheet1!A18)</f>
        <v>0</v>
      </c>
    </row>
    <row r="19" spans="1:2" x14ac:dyDescent="0.3">
      <c r="A19">
        <v>12</v>
      </c>
      <c r="B19">
        <f>COUNTIFS(Resultados!A:A,Sheet1!A19)</f>
        <v>0</v>
      </c>
    </row>
    <row r="20" spans="1:2" x14ac:dyDescent="0.3">
      <c r="A20">
        <v>13</v>
      </c>
      <c r="B20">
        <f>COUNTIFS(Resultados!A:A,Sheet1!A20)</f>
        <v>0</v>
      </c>
    </row>
    <row r="21" spans="1:2" x14ac:dyDescent="0.3">
      <c r="A21">
        <v>14</v>
      </c>
      <c r="B21">
        <f>COUNTIFS(Resultados!A:A,Sheet1!A21)</f>
        <v>0</v>
      </c>
    </row>
    <row r="22" spans="1:2" x14ac:dyDescent="0.3">
      <c r="A22">
        <v>15</v>
      </c>
      <c r="B22">
        <f>COUNTIFS(Resultados!A:A,Sheet1!A22)</f>
        <v>0</v>
      </c>
    </row>
    <row r="23" spans="1:2" x14ac:dyDescent="0.3">
      <c r="A23">
        <v>16</v>
      </c>
      <c r="B23">
        <f>COUNTIFS(Resultados!A:A,Sheet1!A23)</f>
        <v>1</v>
      </c>
    </row>
    <row r="24" spans="1:2" x14ac:dyDescent="0.3">
      <c r="A24">
        <v>17</v>
      </c>
      <c r="B24">
        <f>COUNTIFS(Resultados!A:A,Sheet1!A24)</f>
        <v>1</v>
      </c>
    </row>
    <row r="25" spans="1:2" x14ac:dyDescent="0.3">
      <c r="A25">
        <v>18</v>
      </c>
      <c r="B25">
        <f>COUNTIFS(Resultados!A:A,Sheet1!A25)</f>
        <v>1</v>
      </c>
    </row>
    <row r="26" spans="1:2" x14ac:dyDescent="0.3">
      <c r="A26">
        <v>19</v>
      </c>
      <c r="B26">
        <f>COUNTIFS(Resultados!A:A,Sheet1!A26)</f>
        <v>1</v>
      </c>
    </row>
    <row r="27" spans="1:2" x14ac:dyDescent="0.3">
      <c r="A27">
        <v>20</v>
      </c>
      <c r="B27">
        <f>COUNTIFS(Resultados!A:A,Sheet1!A27)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</vt:lpstr>
      <vt:lpstr>Resultados</vt:lpstr>
      <vt:lpstr>Check Restrições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Erik Ingwersen</cp:lastModifiedBy>
  <dcterms:created xsi:type="dcterms:W3CDTF">2024-08-28T21:26:36Z</dcterms:created>
  <dcterms:modified xsi:type="dcterms:W3CDTF">2024-09-03T20:27:06Z</dcterms:modified>
</cp:coreProperties>
</file>